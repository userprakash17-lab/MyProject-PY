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DieseArbeitsmappe"/>
  <mc:AlternateContent xmlns:mc="http://schemas.openxmlformats.org/markup-compatibility/2006">
    <mc:Choice Requires="x15">
      <x15ac:absPath xmlns:x15ac="http://schemas.microsoft.com/office/spreadsheetml/2010/11/ac" url="https://te360-my.sharepoint.com/personal/prakashkumar_s_te_com/Documents/Desktop/VBA Edit/TR-Update/"/>
    </mc:Choice>
  </mc:AlternateContent>
  <xr:revisionPtr revIDLastSave="3473" documentId="13_ncr:1_{4F369578-BB62-4461-A538-E0F3CF01FDA5}" xr6:coauthVersionLast="47" xr6:coauthVersionMax="47" xr10:uidLastSave="{62226816-B964-4575-9A9C-2BD3B3AEBEAF}"/>
  <bookViews>
    <workbookView xWindow="768" yWindow="768" windowWidth="14544" windowHeight="10824" tabRatio="713" firstSheet="7" activeTab="7" xr2:uid="{00000000-000D-0000-FFFF-FFFF00000000}"/>
  </bookViews>
  <sheets>
    <sheet name="Document Change History" sheetId="22" state="hidden" r:id="rId1"/>
    <sheet name="EvaluationReport" sheetId="4" state="hidden" r:id="rId2"/>
    <sheet name="PositionToleranceR" sheetId="5" state="hidden" r:id="rId3"/>
    <sheet name="PositionToleranceD" sheetId="6" state="hidden" r:id="rId4"/>
    <sheet name="MachineCapability" sheetId="16" state="hidden" r:id="rId5"/>
    <sheet name="Language" sheetId="13" state="hidden" r:id="rId6"/>
    <sheet name="Settings" sheetId="14" state="hidden" r:id="rId7"/>
    <sheet name="HeaderData" sheetId="10" r:id="rId8"/>
    <sheet name="DimensionalReport" sheetId="12" r:id="rId9"/>
    <sheet name="DigitalReport" sheetId="21" r:id="rId10"/>
    <sheet name="InspectionDeviceRegister" sheetId="20" r:id="rId11"/>
    <sheet name="Pictures" sheetId="9" r:id="rId12"/>
    <sheet name="Help" sheetId="15" r:id="rId13"/>
    <sheet name="PSW" sheetId="19" r:id="rId14"/>
    <sheet name="PSW template" sheetId="17" r:id="rId15"/>
  </sheets>
  <functionGroups builtInGroupCount="19"/>
  <definedNames>
    <definedName name="_DrpDwnAppraisal">Settings!$D$2:$D$7</definedName>
    <definedName name="_DrpDwnDeviceList">OFFSET(InspectionDeviceRegister!$A$2,0,0,COUNTA(InspectionDeviceRegister!$A$2:$A$99)+2,1)</definedName>
    <definedName name="_DrpDwnReportQuality">Settings!$E$2:$E$4</definedName>
    <definedName name="_xlnm._FilterDatabase" localSheetId="8" hidden="1">DimensionalReport!$A$6:$T$6</definedName>
    <definedName name="_xlnm._FilterDatabase" localSheetId="0" hidden="1">'Document Change History'!$A$1:$F$9</definedName>
    <definedName name="_xlnm._FilterDatabase" localSheetId="5" hidden="1">Language!$A$1:$I$187</definedName>
    <definedName name="_test">OFFSET(InspectionDeviceRegister!$A$2,0,0,COUNTA(InspectionDeviceRegister!$A$2:$A$99)+2,1)</definedName>
    <definedName name="AddMeasurPosAtPos" localSheetId="9">#REF!</definedName>
    <definedName name="AddMeasurPosAtPos" localSheetId="10">#REF!</definedName>
    <definedName name="AddMeasurPosAtPos">#REF!</definedName>
    <definedName name="AddMeasurPosLines" localSheetId="9">#REF!</definedName>
    <definedName name="AddMeasurPosLines" localSheetId="10">#REF!</definedName>
    <definedName name="AddMeasurPosLines">#REF!</definedName>
    <definedName name="Arial">#REF!</definedName>
    <definedName name="Capability.Criterion">MachineCapability!$A$7</definedName>
    <definedName name="Capability.Knoten">MachineCapability!$A$1</definedName>
    <definedName name="CapabilityType">MachineCapability!$A$2:$A$3</definedName>
    <definedName name="CapabilityTypeSelection">MachineCapability!$A$6</definedName>
    <definedName name="CBDimRepReason">Settings!$B$7</definedName>
    <definedName name="CBSavedIndex">Settings!$B$7</definedName>
    <definedName name="DiameterSheetAtPos">#REF!</definedName>
    <definedName name="DiameterSheetCavities">#REF!</definedName>
    <definedName name="DiameterSheetName">#REF!</definedName>
    <definedName name="DiameterSheetWithPos">#REF!</definedName>
    <definedName name="FileVersion">Settings!$B$6</definedName>
    <definedName name="HeaderData.Accept">HeaderData!$C$60</definedName>
    <definedName name="HeaderData.DimRepReason">HeaderData!$C$52</definedName>
    <definedName name="HeaderData.InspectionDevice">HeaderData!$C$22</definedName>
    <definedName name="HeaderData.InspectorEmail">HeaderData!$C$24</definedName>
    <definedName name="HeaderData.InspectorName">HeaderData!$C$21</definedName>
    <definedName name="HeaderData.InspEmail">HeaderData!$C$24</definedName>
    <definedName name="HeaderData.LotNo">HeaderData!$C$40</definedName>
    <definedName name="HeaderData.MaterialNo">HeaderData!$C$39</definedName>
    <definedName name="HeaderData.MatLotNo">HeaderData!$C$40</definedName>
    <definedName name="HeaderData.MatTePn">HeaderData!$C$39</definedName>
    <definedName name="HeaderData.MeasureDate">HeaderData!$C$19</definedName>
    <definedName name="HeaderData.MeasureLoc">HeaderData!$C$20</definedName>
    <definedName name="HeaderData.MoldMachine">HeaderData!$C$43</definedName>
    <definedName name="HeaderData.Netweight">HeaderData!$C$37</definedName>
    <definedName name="HeaderData.OVID">HeaderData!$C$31</definedName>
    <definedName name="HeaderData.OVName">HeaderData!$C$32</definedName>
    <definedName name="HeaderData.PrdDate">HeaderData!$C$45</definedName>
    <definedName name="HeaderData.ProductionDate">HeaderData!$C$45</definedName>
    <definedName name="HeaderData.QtyCav">HeaderData!$C$48</definedName>
    <definedName name="HeaderData.SamplesPerCavity">HeaderData!$C$50</definedName>
    <definedName name="HeaderData.TeCADrev">HeaderData!$C$14</definedName>
    <definedName name="HeaderData.TeDwgNo">HeaderData!$C$16</definedName>
    <definedName name="HeaderData.TeDwgRev">HeaderData!$C$17</definedName>
    <definedName name="HeaderData.TeOrderNo">HeaderData!$C$23</definedName>
    <definedName name="HeaderData.TePe">HeaderData!$C$25</definedName>
    <definedName name="HeaderData.TePeEmail">HeaderData!$C$26</definedName>
    <definedName name="HeaderData.TEPN">HeaderData!$C$12</definedName>
    <definedName name="HeaderData.TePnDesc">HeaderData!$C$11</definedName>
    <definedName name="HeaderData.TePnRev">HeaderData!$C$13</definedName>
    <definedName name="HeaderData.TeReportNo">HeaderData!$C$10</definedName>
    <definedName name="HeaderData.TeReportRev">HeaderData!$C$18</definedName>
    <definedName name="HeaderData.TeToolNo">HeaderData!$C$15</definedName>
    <definedName name="HeaderData.UseCav">HeaderData!$C$49</definedName>
    <definedName name="InspectionDeviceRegister.DeviceList" localSheetId="9">InspectionDeviceRegister!#REF!</definedName>
    <definedName name="InspectionDeviceRegister.DeviceList">InspectionDeviceRegister!#REF!</definedName>
    <definedName name="LangID">Settings!$B$2</definedName>
    <definedName name="LangRange">Language!$A:$Z</definedName>
    <definedName name="LanguageNo">Settings!$B$2</definedName>
    <definedName name="LanguageSetup" localSheetId="9">#REF!</definedName>
    <definedName name="LanguageSetup" localSheetId="10">#REF!</definedName>
    <definedName name="LanguageSetup">#REF!</definedName>
    <definedName name="Machine_Capability_Study___Machinenfähigkeitsstudie">MachineCapability!$A$2:$A$3</definedName>
    <definedName name="MeasurPosLines" localSheetId="9">#REF!</definedName>
    <definedName name="MeasurPosLines" localSheetId="10">#REF!</definedName>
    <definedName name="MeasurPosLines">#REF!</definedName>
    <definedName name="MeasurPosStep" localSheetId="9">#REF!</definedName>
    <definedName name="MeasurPosStep" localSheetId="10">#REF!</definedName>
    <definedName name="MeasurPosStep">#REF!</definedName>
    <definedName name="NestCount" localSheetId="9">#REF!</definedName>
    <definedName name="NestCount" localSheetId="10">#REF!</definedName>
    <definedName name="NestCount">#REF!</definedName>
    <definedName name="_xlnm.Print_Area" localSheetId="8">DimensionalReport!$A$1:$P$6</definedName>
    <definedName name="_xlnm.Print_Area" localSheetId="7">HeaderData!$A$1:$C$71</definedName>
    <definedName name="_xlnm.Print_Area" localSheetId="12">Help!$A$1:$N$138</definedName>
    <definedName name="_xlnm.Print_Area" localSheetId="10">InspectionDeviceRegister!$A$1:$A$26</definedName>
    <definedName name="_xlnm.Print_Area" localSheetId="4">MachineCapability!$F$1:$T$73</definedName>
    <definedName name="_xlnm.Print_Area" localSheetId="11">Pictures!$A$1:$H$54</definedName>
    <definedName name="_xlnm.Print_Titles" localSheetId="8">DimensionalReport!$A:$F,DimensionalReport!$1:$4</definedName>
    <definedName name="_xlnm.Print_Titles" localSheetId="1">EvaluationReport!$14:$15</definedName>
    <definedName name="_xlnm.Print_Titles" localSheetId="3">PositionToleranceD!$A:$B,PositionToleranceD!$17:$20</definedName>
    <definedName name="_xlnm.Print_Titles" localSheetId="2">PositionToleranceR!$A:$B,PositionToleranceR!$18:$21</definedName>
    <definedName name="RatingComments">Settings!$F$2:$F$17</definedName>
    <definedName name="RectangularSheetAtPos">#REF!</definedName>
    <definedName name="RectangularSheetCavities">#REF!</definedName>
    <definedName name="RectangularSheetName">#REF!</definedName>
    <definedName name="RectangularSheetWithPos">#REF!</definedName>
    <definedName name="TeDwgRev">HeaderData!$C$17</definedName>
    <definedName name="TempFormula">Settings!$B$3</definedName>
    <definedName name="UserPwd">Settings!$B$5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 i="12" l="1"/>
  <c r="B14" i="10"/>
  <c r="E2" i="14" l="1"/>
  <c r="J4" i="16" l="1"/>
  <c r="J3" i="12"/>
  <c r="H3" i="12"/>
  <c r="I6" i="12"/>
  <c r="Q6" i="12"/>
  <c r="S6" i="12"/>
  <c r="J6" i="12"/>
  <c r="T73" i="16" l="1"/>
  <c r="S73" i="16"/>
  <c r="R73" i="16"/>
  <c r="P73" i="16"/>
  <c r="T72" i="16"/>
  <c r="S72" i="16"/>
  <c r="R72" i="16"/>
  <c r="P72" i="16"/>
  <c r="T71" i="16"/>
  <c r="S71" i="16"/>
  <c r="R71" i="16"/>
  <c r="T70" i="16"/>
  <c r="S70" i="16"/>
  <c r="R70" i="16"/>
  <c r="T69" i="16"/>
  <c r="S69" i="16"/>
  <c r="R69" i="16"/>
  <c r="Q69" i="16"/>
  <c r="T68" i="16"/>
  <c r="S68" i="16"/>
  <c r="R68" i="16"/>
  <c r="Q68" i="16"/>
  <c r="T67" i="16"/>
  <c r="S67" i="16"/>
  <c r="R67" i="16"/>
  <c r="Q67" i="16"/>
  <c r="T66" i="16"/>
  <c r="S66" i="16"/>
  <c r="R66" i="16"/>
  <c r="Q66" i="16"/>
  <c r="T65" i="16"/>
  <c r="S65" i="16"/>
  <c r="R65" i="16"/>
  <c r="Q65" i="16"/>
  <c r="R11" i="16"/>
  <c r="T10" i="16"/>
  <c r="R10" i="16"/>
  <c r="Q7" i="16"/>
  <c r="T6" i="16"/>
  <c r="Q6" i="16"/>
  <c r="Q5" i="16"/>
  <c r="T4" i="16"/>
  <c r="Q4" i="16"/>
  <c r="T3" i="16"/>
  <c r="P1" i="16"/>
  <c r="T6" i="12"/>
  <c r="O73" i="16" l="1"/>
  <c r="N73" i="16"/>
  <c r="M73" i="16"/>
  <c r="K73" i="16"/>
  <c r="O72" i="16"/>
  <c r="N72" i="16"/>
  <c r="M72" i="16"/>
  <c r="K72" i="16"/>
  <c r="O71" i="16"/>
  <c r="N71" i="16"/>
  <c r="M71" i="16"/>
  <c r="O70" i="16"/>
  <c r="N70" i="16"/>
  <c r="M70" i="16"/>
  <c r="O69" i="16"/>
  <c r="N69" i="16"/>
  <c r="M69" i="16"/>
  <c r="L69" i="16"/>
  <c r="O68" i="16"/>
  <c r="N68" i="16"/>
  <c r="M68" i="16"/>
  <c r="L68" i="16"/>
  <c r="O67" i="16"/>
  <c r="N67" i="16"/>
  <c r="M67" i="16"/>
  <c r="L67" i="16"/>
  <c r="O66" i="16"/>
  <c r="N66" i="16"/>
  <c r="M66" i="16"/>
  <c r="L66" i="16"/>
  <c r="O65" i="16"/>
  <c r="N65" i="16"/>
  <c r="M65" i="16"/>
  <c r="L65" i="16"/>
  <c r="M11" i="16"/>
  <c r="O10" i="16"/>
  <c r="M10" i="16"/>
  <c r="L7" i="16"/>
  <c r="O6" i="16"/>
  <c r="L6" i="16"/>
  <c r="L5" i="16"/>
  <c r="O4" i="16"/>
  <c r="L4" i="16"/>
  <c r="O3" i="16"/>
  <c r="K1" i="16"/>
  <c r="J6" i="16" l="1"/>
  <c r="J10" i="16" l="1"/>
  <c r="J3" i="16"/>
  <c r="G7" i="16"/>
  <c r="G6" i="16"/>
  <c r="G5" i="16"/>
  <c r="G4" i="16"/>
  <c r="B9" i="10" l="1"/>
  <c r="K4" i="12" l="1"/>
  <c r="B50" i="10" l="1"/>
  <c r="B49" i="10"/>
  <c r="B48" i="10"/>
  <c r="B42" i="10"/>
  <c r="B41" i="10"/>
  <c r="C18" i="21" l="1"/>
  <c r="C22" i="21"/>
  <c r="C20" i="21"/>
  <c r="B1" i="20"/>
  <c r="A1" i="20"/>
  <c r="B68" i="10"/>
  <c r="A68" i="10"/>
  <c r="B22" i="10"/>
  <c r="B21" i="10"/>
  <c r="B23" i="10"/>
  <c r="B11" i="6"/>
  <c r="B10" i="6"/>
  <c r="B9" i="6"/>
  <c r="B8" i="6"/>
  <c r="B7" i="6"/>
  <c r="B6" i="6"/>
  <c r="B5" i="6"/>
  <c r="B11" i="5"/>
  <c r="B10" i="5"/>
  <c r="B9" i="5"/>
  <c r="B8" i="5"/>
  <c r="B7" i="5"/>
  <c r="B6" i="5"/>
  <c r="B5" i="5"/>
  <c r="B34" i="10"/>
  <c r="B39" i="10"/>
  <c r="A36" i="10"/>
  <c r="B37" i="10"/>
  <c r="A9" i="10"/>
  <c r="C6" i="5"/>
  <c r="C6" i="6"/>
  <c r="P1" i="12"/>
  <c r="P2" i="12"/>
  <c r="B11" i="10"/>
  <c r="A58" i="10"/>
  <c r="B26" i="10"/>
  <c r="A52" i="10"/>
  <c r="B52" i="10"/>
  <c r="B47" i="10"/>
  <c r="B44" i="10"/>
  <c r="A31" i="10"/>
  <c r="A43" i="10"/>
  <c r="A25" i="10"/>
  <c r="A18" i="10"/>
  <c r="A11" i="10"/>
  <c r="B28" i="10"/>
  <c r="B45" i="10"/>
  <c r="B46" i="10"/>
  <c r="B27" i="10"/>
  <c r="B18" i="10"/>
  <c r="B10" i="10"/>
  <c r="D59" i="10" s="1"/>
  <c r="B15" i="10"/>
  <c r="B16" i="10"/>
  <c r="B13" i="10"/>
  <c r="B12" i="10"/>
  <c r="B25" i="10"/>
  <c r="B33" i="10"/>
  <c r="B43" i="10"/>
  <c r="B40" i="10"/>
  <c r="B38" i="10"/>
  <c r="B35" i="10"/>
  <c r="B24" i="10"/>
  <c r="B19" i="10"/>
  <c r="B20" i="10"/>
  <c r="B31" i="10"/>
  <c r="B32" i="10"/>
  <c r="C11" i="6"/>
  <c r="C10" i="6"/>
  <c r="C9" i="6"/>
  <c r="C8" i="6"/>
  <c r="C7" i="6"/>
  <c r="C5" i="6"/>
  <c r="C11" i="5"/>
  <c r="C10" i="5"/>
  <c r="C9" i="5"/>
  <c r="C8" i="5"/>
  <c r="C5" i="5"/>
  <c r="C7" i="5"/>
  <c r="C2" i="10"/>
  <c r="D1" i="12"/>
  <c r="K2" i="12"/>
  <c r="F2" i="12"/>
  <c r="D2" i="12"/>
  <c r="B2" i="12"/>
  <c r="C18" i="19"/>
  <c r="C19" i="19"/>
  <c r="C20" i="19"/>
  <c r="C21" i="19"/>
  <c r="C22" i="19"/>
  <c r="C23" i="19"/>
  <c r="C24" i="19"/>
  <c r="A1" i="15"/>
  <c r="A2" i="15"/>
  <c r="C2" i="15"/>
  <c r="D2" i="15"/>
  <c r="H2" i="15"/>
  <c r="A13" i="15"/>
  <c r="A14" i="15"/>
  <c r="A17" i="15"/>
  <c r="A18" i="15"/>
  <c r="A19" i="15"/>
  <c r="A20" i="15"/>
  <c r="A21" i="15"/>
  <c r="A22" i="15"/>
  <c r="A23" i="15"/>
  <c r="A24" i="15"/>
  <c r="A25" i="15"/>
  <c r="A26" i="15"/>
  <c r="A27" i="15"/>
  <c r="A28" i="15"/>
  <c r="A29" i="15"/>
  <c r="A30" i="15"/>
  <c r="A31" i="15"/>
  <c r="A32" i="15"/>
  <c r="A33" i="15"/>
  <c r="A34" i="15"/>
  <c r="A35" i="15"/>
  <c r="A38" i="15"/>
  <c r="A39" i="15"/>
  <c r="A40" i="15"/>
  <c r="A41" i="15"/>
  <c r="A42" i="15"/>
  <c r="A43" i="15"/>
  <c r="A44" i="15"/>
  <c r="A46" i="15"/>
  <c r="A2" i="9"/>
  <c r="B1" i="12"/>
  <c r="F1" i="12"/>
  <c r="K1" i="12"/>
  <c r="G3" i="12"/>
  <c r="I3" i="12"/>
  <c r="A4" i="12"/>
  <c r="B4" i="12"/>
  <c r="C4" i="12"/>
  <c r="D4" i="12"/>
  <c r="E4" i="12"/>
  <c r="F4" i="12"/>
  <c r="L4" i="12"/>
  <c r="M4" i="12"/>
  <c r="O4" i="12"/>
  <c r="P4" i="12"/>
  <c r="C1" i="10"/>
  <c r="A59" i="10"/>
  <c r="C59" i="10"/>
  <c r="C61" i="10"/>
  <c r="B3" i="14"/>
  <c r="F1" i="16"/>
  <c r="A7" i="16"/>
  <c r="H10" i="16"/>
  <c r="H11" i="16"/>
  <c r="G65" i="16"/>
  <c r="H65" i="16"/>
  <c r="I65" i="16"/>
  <c r="J65" i="16"/>
  <c r="G66" i="16"/>
  <c r="H66" i="16"/>
  <c r="I66" i="16"/>
  <c r="J66" i="16"/>
  <c r="G67" i="16"/>
  <c r="H67" i="16"/>
  <c r="I67" i="16"/>
  <c r="J67" i="16"/>
  <c r="G68" i="16"/>
  <c r="H68" i="16"/>
  <c r="I68" i="16"/>
  <c r="J68" i="16"/>
  <c r="G69" i="16"/>
  <c r="H69" i="16"/>
  <c r="I69" i="16"/>
  <c r="J69" i="16"/>
  <c r="H70" i="16"/>
  <c r="I70" i="16"/>
  <c r="J70" i="16"/>
  <c r="H71" i="16"/>
  <c r="I71" i="16"/>
  <c r="J71" i="16"/>
  <c r="F72" i="16"/>
  <c r="H72" i="16"/>
  <c r="I72" i="16"/>
  <c r="J72" i="16"/>
  <c r="F73" i="16"/>
  <c r="H73" i="16"/>
  <c r="I73" i="16"/>
  <c r="J73" i="16"/>
  <c r="F21" i="6"/>
  <c r="F18" i="6" s="1"/>
  <c r="D19" i="6"/>
  <c r="D18" i="5"/>
  <c r="E19" i="5"/>
  <c r="D20" i="5"/>
  <c r="M1" i="4"/>
  <c r="M2" i="4"/>
  <c r="M3" i="4"/>
  <c r="G6" i="4"/>
  <c r="M6" i="4"/>
  <c r="M7" i="4"/>
  <c r="M8" i="4"/>
  <c r="M9" i="4"/>
  <c r="Q71" i="16" l="1"/>
  <c r="L71" i="16"/>
  <c r="Q70" i="16"/>
  <c r="L70" i="16"/>
  <c r="G71" i="16"/>
  <c r="G70" i="16"/>
  <c r="R6" i="12"/>
  <c r="Q72" i="16" l="1"/>
  <c r="Q73" i="16" s="1"/>
  <c r="L72" i="16"/>
  <c r="L73" i="16" s="1"/>
  <c r="G72" i="16"/>
  <c r="G73"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 Jith</author>
    <author>Dirk Walther</author>
  </authors>
  <commentList>
    <comment ref="G2" authorId="0" shapeId="0" xr:uid="{B5E34E3F-E173-47AC-854B-C66D85040A19}">
      <text>
        <r>
          <rPr>
            <sz val="9"/>
            <color indexed="81"/>
            <rFont val="Tahoma"/>
            <family val="2"/>
          </rPr>
          <t>Analysis Type
Select from Dropdown</t>
        </r>
      </text>
    </comment>
    <comment ref="L2" authorId="0" shapeId="0" xr:uid="{F6A3EAB6-DB8B-401F-AA4C-38774AC72C61}">
      <text>
        <r>
          <rPr>
            <sz val="9"/>
            <color indexed="81"/>
            <rFont val="Tahoma"/>
            <family val="2"/>
          </rPr>
          <t>Analysis Type
Select from Dropdown</t>
        </r>
      </text>
    </comment>
    <comment ref="Q2" authorId="0" shapeId="0" xr:uid="{D92B49C2-9E1E-4A4B-88D4-0873A9803201}">
      <text>
        <r>
          <rPr>
            <sz val="9"/>
            <color indexed="81"/>
            <rFont val="Tahoma"/>
            <family val="2"/>
          </rPr>
          <t>Analysis Type
Select from Dropdown</t>
        </r>
      </text>
    </comment>
    <comment ref="F10" authorId="1" shapeId="0" xr:uid="{00000000-0006-0000-0300-000001000000}">
      <text>
        <r>
          <rPr>
            <b/>
            <sz val="8"/>
            <color indexed="81"/>
            <rFont val="Tahoma"/>
            <family val="2"/>
          </rPr>
          <t>Dirk Walther:</t>
        </r>
        <r>
          <rPr>
            <sz val="8"/>
            <color indexed="81"/>
            <rFont val="Tahoma"/>
            <family val="2"/>
          </rPr>
          <t xml:space="preserve">
Enter tolerance USL/ Tol+ as entered in the report.</t>
        </r>
      </text>
    </comment>
    <comment ref="H10" authorId="1" shapeId="0" xr:uid="{00000000-0006-0000-0300-000002000000}">
      <text>
        <r>
          <rPr>
            <b/>
            <sz val="8"/>
            <color indexed="81"/>
            <rFont val="Tahoma"/>
            <family val="2"/>
          </rPr>
          <t>Dirk Walther:</t>
        </r>
        <r>
          <rPr>
            <sz val="8"/>
            <color indexed="81"/>
            <rFont val="Tahoma"/>
            <family val="2"/>
          </rPr>
          <t xml:space="preserve">
Resulting upper tolerance limit
= nominal + Tol+</t>
        </r>
      </text>
    </comment>
    <comment ref="K10" authorId="1" shapeId="0" xr:uid="{0826213E-3B18-47AF-9676-A8D9D5C96618}">
      <text>
        <r>
          <rPr>
            <b/>
            <sz val="8"/>
            <color indexed="81"/>
            <rFont val="Tahoma"/>
            <family val="2"/>
          </rPr>
          <t>Dirk Walther:</t>
        </r>
        <r>
          <rPr>
            <sz val="8"/>
            <color indexed="81"/>
            <rFont val="Tahoma"/>
            <family val="2"/>
          </rPr>
          <t xml:space="preserve">
Enter tolerance USL/ Tol+ as entered in the report.</t>
        </r>
      </text>
    </comment>
    <comment ref="M10" authorId="1" shapeId="0" xr:uid="{1476EE6D-1E7B-4C4E-938A-D5334C8AAE31}">
      <text>
        <r>
          <rPr>
            <b/>
            <sz val="8"/>
            <color indexed="81"/>
            <rFont val="Tahoma"/>
            <family val="2"/>
          </rPr>
          <t>Dirk Walther:</t>
        </r>
        <r>
          <rPr>
            <sz val="8"/>
            <color indexed="81"/>
            <rFont val="Tahoma"/>
            <family val="2"/>
          </rPr>
          <t xml:space="preserve">
Resulting upper tolerance limit
= nominal + Tol+</t>
        </r>
      </text>
    </comment>
    <comment ref="P10" authorId="1" shapeId="0" xr:uid="{14EADD11-2633-4E8B-947B-E87574622BF5}">
      <text>
        <r>
          <rPr>
            <b/>
            <sz val="8"/>
            <color indexed="81"/>
            <rFont val="Tahoma"/>
            <family val="2"/>
          </rPr>
          <t>Dirk Walther:</t>
        </r>
        <r>
          <rPr>
            <sz val="8"/>
            <color indexed="81"/>
            <rFont val="Tahoma"/>
            <family val="2"/>
          </rPr>
          <t xml:space="preserve">
Enter tolerance USL/ Tol+ as entered in the report.</t>
        </r>
      </text>
    </comment>
    <comment ref="R10" authorId="1" shapeId="0" xr:uid="{55481AA6-624C-4BB6-A1ED-FE23F0BF2E08}">
      <text>
        <r>
          <rPr>
            <b/>
            <sz val="8"/>
            <color indexed="81"/>
            <rFont val="Tahoma"/>
            <family val="2"/>
          </rPr>
          <t>Dirk Walther:</t>
        </r>
        <r>
          <rPr>
            <sz val="8"/>
            <color indexed="81"/>
            <rFont val="Tahoma"/>
            <family val="2"/>
          </rPr>
          <t xml:space="preserve">
Resulting upper tolerance limit
= nominal + Tol+</t>
        </r>
      </text>
    </comment>
    <comment ref="F11" authorId="1" shapeId="0" xr:uid="{00000000-0006-0000-0300-000003000000}">
      <text>
        <r>
          <rPr>
            <b/>
            <sz val="8"/>
            <color indexed="81"/>
            <rFont val="Tahoma"/>
            <family val="2"/>
          </rPr>
          <t>Dirk Walther:</t>
        </r>
        <r>
          <rPr>
            <sz val="8"/>
            <color indexed="81"/>
            <rFont val="Tahoma"/>
            <family val="2"/>
          </rPr>
          <t xml:space="preserve">
Enter tolerance LSL/ Tol- as entered in the report. If value is negative: don't forget to include the algebraic sign.</t>
        </r>
      </text>
    </comment>
    <comment ref="H11" authorId="1" shapeId="0" xr:uid="{00000000-0006-0000-0300-000004000000}">
      <text>
        <r>
          <rPr>
            <b/>
            <sz val="8"/>
            <color indexed="81"/>
            <rFont val="Tahoma"/>
            <family val="2"/>
          </rPr>
          <t>Dirk Walther:</t>
        </r>
        <r>
          <rPr>
            <sz val="8"/>
            <color indexed="81"/>
            <rFont val="Tahoma"/>
            <family val="2"/>
          </rPr>
          <t xml:space="preserve">
Resulting lower tolerance limit
= nominal + Tol-</t>
        </r>
      </text>
    </comment>
    <comment ref="K11" authorId="1" shapeId="0" xr:uid="{702C2584-A69A-4920-AEE3-26D355E87DC6}">
      <text>
        <r>
          <rPr>
            <b/>
            <sz val="8"/>
            <color indexed="81"/>
            <rFont val="Tahoma"/>
            <family val="2"/>
          </rPr>
          <t>Dirk Walther:</t>
        </r>
        <r>
          <rPr>
            <sz val="8"/>
            <color indexed="81"/>
            <rFont val="Tahoma"/>
            <family val="2"/>
          </rPr>
          <t xml:space="preserve">
Enter tolerance LSL/ Tol- as entered in the report. If value is negative: don't forget to include the algebraic sign.</t>
        </r>
      </text>
    </comment>
    <comment ref="M11" authorId="1" shapeId="0" xr:uid="{21920C87-1297-4093-AEBB-4F715C8FEF6E}">
      <text>
        <r>
          <rPr>
            <b/>
            <sz val="8"/>
            <color indexed="81"/>
            <rFont val="Tahoma"/>
            <family val="2"/>
          </rPr>
          <t>Dirk Walther:</t>
        </r>
        <r>
          <rPr>
            <sz val="8"/>
            <color indexed="81"/>
            <rFont val="Tahoma"/>
            <family val="2"/>
          </rPr>
          <t xml:space="preserve">
Resulting lower tolerance limit
= nominal + Tol-</t>
        </r>
      </text>
    </comment>
    <comment ref="P11" authorId="1" shapeId="0" xr:uid="{23D80D50-643C-43EF-9E46-3F98A3C8D21E}">
      <text>
        <r>
          <rPr>
            <b/>
            <sz val="8"/>
            <color indexed="81"/>
            <rFont val="Tahoma"/>
            <family val="2"/>
          </rPr>
          <t>Dirk Walther:</t>
        </r>
        <r>
          <rPr>
            <sz val="8"/>
            <color indexed="81"/>
            <rFont val="Tahoma"/>
            <family val="2"/>
          </rPr>
          <t xml:space="preserve">
Enter tolerance LSL/ Tol- as entered in the report. If value is negative: don't forget to include the algebraic sign.</t>
        </r>
      </text>
    </comment>
    <comment ref="R11" authorId="1" shapeId="0" xr:uid="{6511385B-E537-4388-B461-27EDD6C288F5}">
      <text>
        <r>
          <rPr>
            <b/>
            <sz val="8"/>
            <color indexed="81"/>
            <rFont val="Tahoma"/>
            <family val="2"/>
          </rPr>
          <t>Dirk Walther:</t>
        </r>
        <r>
          <rPr>
            <sz val="8"/>
            <color indexed="81"/>
            <rFont val="Tahoma"/>
            <family val="2"/>
          </rPr>
          <t xml:space="preserve">
Resulting lower tolerance limit
= nominal + Tol-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 Hintz</author>
    <author>Dirk Walther</author>
    <author>Mahesh AC</author>
    <author>eg012217</author>
  </authors>
  <commentList>
    <comment ref="C10" authorId="0" shapeId="0" xr:uid="{00000000-0006-0000-0600-000001000000}">
      <text>
        <r>
          <rPr>
            <sz val="9"/>
            <color indexed="81"/>
            <rFont val="Tahoma"/>
            <family val="2"/>
          </rPr>
          <t>TE Internal measuring:
Measurement room enters CR number.
Measuring on supplier plant:
TE ME (formerly Tool &amp; Die) department enters CR number.</t>
        </r>
      </text>
    </comment>
    <comment ref="C11" authorId="1" shapeId="0" xr:uid="{00000000-0006-0000-0600-000002000000}">
      <text>
        <r>
          <rPr>
            <sz val="9"/>
            <color indexed="81"/>
            <rFont val="Tahoma"/>
            <family val="2"/>
          </rPr>
          <t>Enter product name</t>
        </r>
      </text>
    </comment>
    <comment ref="C12" authorId="0" shapeId="0" xr:uid="{00000000-0006-0000-0600-000003000000}">
      <text>
        <r>
          <rPr>
            <sz val="9"/>
            <color indexed="81"/>
            <rFont val="Tahoma"/>
            <family val="2"/>
          </rPr>
          <t xml:space="preserve">Part number of measured product </t>
        </r>
      </text>
    </comment>
    <comment ref="C13" authorId="1" shapeId="0" xr:uid="{00000000-0006-0000-0600-000004000000}">
      <text>
        <r>
          <rPr>
            <sz val="9"/>
            <color indexed="81"/>
            <rFont val="Tahoma"/>
            <family val="2"/>
          </rPr>
          <t>Enter part revision</t>
        </r>
      </text>
    </comment>
    <comment ref="C15" authorId="0" shapeId="0" xr:uid="{00000000-0006-0000-0600-000005000000}">
      <text>
        <r>
          <rPr>
            <sz val="9"/>
            <color indexed="81"/>
            <rFont val="Tahoma"/>
            <family val="2"/>
          </rPr>
          <t>Enter TE tool number</t>
        </r>
      </text>
    </comment>
    <comment ref="C16" authorId="0" shapeId="0" xr:uid="{00000000-0006-0000-0600-000006000000}">
      <text>
        <r>
          <rPr>
            <sz val="9"/>
            <color indexed="81"/>
            <rFont val="Tahoma"/>
            <family val="2"/>
          </rPr>
          <t>Enter drawing number which is basis for the measurement</t>
        </r>
      </text>
    </comment>
    <comment ref="C18" authorId="0" shapeId="0" xr:uid="{00000000-0006-0000-0600-000008000000}">
      <text>
        <r>
          <rPr>
            <sz val="9"/>
            <color indexed="81"/>
            <rFont val="Tahoma"/>
            <family val="2"/>
          </rPr>
          <t>Enter revision of the dimensional report.
1st revision is "1", always.
Messuring after first conditioning loop gets "2".
ATTENTION: revison of dimensional report HAS ABSOLUTELY NO RELATIONSHIP to revision of part or drawing!</t>
        </r>
      </text>
    </comment>
    <comment ref="C19" authorId="0" shapeId="0" xr:uid="{00000000-0006-0000-0600-000009000000}">
      <text>
        <r>
          <rPr>
            <sz val="8"/>
            <color indexed="81"/>
            <rFont val="Tahoma"/>
            <family val="2"/>
          </rPr>
          <t xml:space="preserve">Date when the dimensional report is created
</t>
        </r>
      </text>
    </comment>
    <comment ref="C20" authorId="0" shapeId="0" xr:uid="{00000000-0006-0000-0600-00000A000000}">
      <text>
        <r>
          <rPr>
            <sz val="8"/>
            <color indexed="81"/>
            <rFont val="Tahoma"/>
            <family val="2"/>
          </rPr>
          <t>Enter location where the component was measured</t>
        </r>
      </text>
    </comment>
    <comment ref="C21" authorId="0" shapeId="0" xr:uid="{00000000-0006-0000-0600-00000B000000}">
      <text>
        <r>
          <rPr>
            <sz val="8"/>
            <color indexed="81"/>
            <rFont val="Tahoma"/>
            <family val="2"/>
          </rPr>
          <t xml:space="preserve">Name of creator
</t>
        </r>
      </text>
    </comment>
    <comment ref="D21" authorId="2" shapeId="0" xr:uid="{0F8E2045-8E69-4636-9611-CB569C360DB2}">
      <text>
        <r>
          <rPr>
            <sz val="9"/>
            <color indexed="81"/>
            <rFont val="Tahoma"/>
            <family val="2"/>
          </rPr>
          <t>Add the names of additional inspectors in case the measurement was carried out by multiple persons seperated by a comma</t>
        </r>
      </text>
    </comment>
    <comment ref="C22" authorId="1" shapeId="0" xr:uid="{00000000-0006-0000-0600-00000C000000}">
      <text>
        <r>
          <rPr>
            <b/>
            <sz val="9"/>
            <color indexed="81"/>
            <rFont val="Segoe UI"/>
            <family val="2"/>
          </rPr>
          <t>Inspection Device:</t>
        </r>
        <r>
          <rPr>
            <sz val="9"/>
            <color indexed="81"/>
            <rFont val="Segoe UI"/>
            <family val="2"/>
          </rPr>
          <t xml:space="preserve">
1) Register the device on sheet "InspectionDeviceRegister"
2) Use pull down to Specify Inspection device used for the main content of the inspection.
Further guidelines:
# If additional inspection devices are used for particular inspection items specify these in the "DimensionalReport" form in column "Remark metrology" (column name depends on selected user interface language). You may use the pull-down
# If a different device is used within an conditioning loop the device needs to be specified in this column, too.
</t>
        </r>
        <r>
          <rPr>
            <b/>
            <sz val="9"/>
            <color indexed="81"/>
            <rFont val="Segoe UI"/>
            <family val="2"/>
          </rPr>
          <t>For suppliers:</t>
        </r>
        <r>
          <rPr>
            <sz val="9"/>
            <color indexed="81"/>
            <rFont val="Segoe UI"/>
            <family val="2"/>
          </rPr>
          <t xml:space="preserve"> MSA documents are part of the PPAP documents thus don't need to be added to the Dimensional Report.</t>
        </r>
      </text>
    </comment>
    <comment ref="C23" authorId="0" shapeId="0" xr:uid="{00000000-0006-0000-0600-00000D000000}">
      <text>
        <r>
          <rPr>
            <sz val="8"/>
            <color indexed="81"/>
            <rFont val="Tahoma"/>
            <family val="2"/>
          </rPr>
          <t>Enter reference / number of sampling / measuring order  (Messauftrag Nummer)
This field is linked to the header line on the DimensionalReport sheet</t>
        </r>
      </text>
    </comment>
    <comment ref="C24" authorId="0" shapeId="0" xr:uid="{00000000-0006-0000-0600-00000E000000}">
      <text>
        <r>
          <rPr>
            <sz val="8"/>
            <color indexed="81"/>
            <rFont val="Tahoma"/>
            <family val="2"/>
          </rPr>
          <t>Email address of creator of the dimensional report, alternatively the responsible person to contact.</t>
        </r>
      </text>
    </comment>
    <comment ref="C25" authorId="0" shapeId="0" xr:uid="{00000000-0006-0000-0600-00000F000000}">
      <text>
        <r>
          <rPr>
            <sz val="8"/>
            <color indexed="81"/>
            <rFont val="Tahoma"/>
            <family val="2"/>
          </rPr>
          <t>Name of TE product engineer (if known)</t>
        </r>
      </text>
    </comment>
    <comment ref="C26" authorId="0" shapeId="0" xr:uid="{00000000-0006-0000-0600-000010000000}">
      <text>
        <r>
          <rPr>
            <sz val="8"/>
            <color indexed="81"/>
            <rFont val="Tahoma"/>
            <family val="2"/>
          </rPr>
          <t>Email address of TE product engineer</t>
        </r>
      </text>
    </comment>
    <comment ref="C27" authorId="1" shapeId="0" xr:uid="{00000000-0006-0000-0600-000011000000}">
      <text>
        <r>
          <rPr>
            <sz val="9"/>
            <color indexed="81"/>
            <rFont val="Tahoma"/>
            <family val="2"/>
          </rPr>
          <t>TE tool project manager respectively the responsible contact for the tool and measuring reason.</t>
        </r>
      </text>
    </comment>
    <comment ref="C28" authorId="0" shapeId="0" xr:uid="{00000000-0006-0000-0600-000012000000}">
      <text>
        <r>
          <rPr>
            <sz val="8"/>
            <color indexed="81"/>
            <rFont val="Tahoma"/>
            <family val="2"/>
          </rPr>
          <t>Email address of TE Tool Project Manager</t>
        </r>
      </text>
    </comment>
    <comment ref="C29" authorId="2" shapeId="0" xr:uid="{B037A32C-8422-4173-8EEA-D5F2E8295CED}">
      <text>
        <r>
          <rPr>
            <sz val="9"/>
            <color indexed="81"/>
            <rFont val="Tahoma"/>
            <family val="2"/>
          </rPr>
          <t>Person responsible for procurement / buying from external supplier</t>
        </r>
      </text>
    </comment>
    <comment ref="C30" authorId="0" shapeId="0" xr:uid="{2FD4272B-F701-4AF4-A2BD-72A83473B18A}">
      <text>
        <r>
          <rPr>
            <sz val="8"/>
            <color indexed="81"/>
            <rFont val="Tahoma"/>
            <family val="2"/>
          </rPr>
          <t>Email address of Advanced Procurement / Buyer</t>
        </r>
      </text>
    </comment>
    <comment ref="C31" authorId="0" shapeId="0" xr:uid="{00000000-0006-0000-0600-000013000000}">
      <text>
        <r>
          <rPr>
            <sz val="8"/>
            <color indexed="81"/>
            <rFont val="Tahoma"/>
            <family val="2"/>
          </rPr>
          <t>Enter TE supplier ID of the supplier.
For TE internal measuring enter "n/a".</t>
        </r>
      </text>
    </comment>
    <comment ref="C32" authorId="0" shapeId="0" xr:uid="{00000000-0006-0000-0600-000014000000}">
      <text>
        <r>
          <rPr>
            <sz val="8"/>
            <color indexed="81"/>
            <rFont val="Tahoma"/>
            <family val="2"/>
          </rPr>
          <t>Enter name of the supplier</t>
        </r>
      </text>
    </comment>
    <comment ref="C33" authorId="0" shapeId="0" xr:uid="{00000000-0006-0000-0600-000015000000}">
      <text>
        <r>
          <rPr>
            <sz val="8"/>
            <color indexed="81"/>
            <rFont val="Tahoma"/>
            <family val="2"/>
          </rPr>
          <t>For the supplier: enter the delivery reference number here</t>
        </r>
      </text>
    </comment>
    <comment ref="C34" authorId="3" shapeId="0" xr:uid="{00000000-0006-0000-0600-000016000000}">
      <text>
        <r>
          <rPr>
            <sz val="9"/>
            <color indexed="81"/>
            <rFont val="Tahoma"/>
            <family val="2"/>
          </rPr>
          <t>For supplier internal reference:
measuring report no# (if applicable)</t>
        </r>
      </text>
    </comment>
    <comment ref="C35" authorId="1" shapeId="0" xr:uid="{00000000-0006-0000-0600-000017000000}">
      <text>
        <r>
          <rPr>
            <sz val="9"/>
            <color indexed="81"/>
            <rFont val="Tahoma"/>
            <family val="2"/>
          </rPr>
          <t>For supplier internal reference: 
supplier tool number (if applicable)</t>
        </r>
      </text>
    </comment>
    <comment ref="C37" authorId="1" shapeId="0" xr:uid="{00000000-0006-0000-0600-000018000000}">
      <text>
        <r>
          <rPr>
            <sz val="9"/>
            <color indexed="81"/>
            <rFont val="Tahoma"/>
            <family val="2"/>
          </rPr>
          <t>Enter net weight of the loose piece component as it "goes into the car". Means: without packaging or strip portions in terms of stamped parts.</t>
        </r>
      </text>
    </comment>
    <comment ref="C38" authorId="0" shapeId="0" xr:uid="{00000000-0006-0000-0600-000019000000}">
      <text>
        <r>
          <rPr>
            <sz val="8"/>
            <color indexed="81"/>
            <rFont val="Tahoma"/>
            <family val="2"/>
          </rPr>
          <t>Material and batch number (colour batch)</t>
        </r>
      </text>
    </comment>
    <comment ref="C39" authorId="1" shapeId="0" xr:uid="{00000000-0006-0000-0600-00001A000000}">
      <text>
        <r>
          <rPr>
            <sz val="9"/>
            <color indexed="81"/>
            <rFont val="Tahoma"/>
            <family val="2"/>
          </rPr>
          <t>TE material part number in standard TCPN format. If not available specify Material manufacturer  and material grade.</t>
        </r>
      </text>
    </comment>
    <comment ref="C40" authorId="0" shapeId="0" xr:uid="{00000000-0006-0000-0600-00001B000000}">
      <text>
        <r>
          <rPr>
            <sz val="8"/>
            <color indexed="81"/>
            <rFont val="Tahoma"/>
            <family val="2"/>
          </rPr>
          <t>Material lot number</t>
        </r>
      </text>
    </comment>
    <comment ref="C41" authorId="0" shapeId="0" xr:uid="{00000000-0006-0000-0600-00001C000000}">
      <text>
        <r>
          <rPr>
            <sz val="8"/>
            <color indexed="81"/>
            <rFont val="Tahoma"/>
            <family val="2"/>
          </rPr>
          <t>Enter RAL no# of colour (if applicable)</t>
        </r>
        <r>
          <rPr>
            <sz val="8"/>
            <color indexed="81"/>
            <rFont val="Tahoma"/>
            <family val="2"/>
          </rPr>
          <t xml:space="preserve">
</t>
        </r>
      </text>
    </comment>
    <comment ref="C42" authorId="1" shapeId="0" xr:uid="{00000000-0006-0000-0600-00001D000000}">
      <text>
        <r>
          <rPr>
            <sz val="9"/>
            <color indexed="81"/>
            <rFont val="Tahoma"/>
            <family val="2"/>
          </rPr>
          <t>Enter regrind % the samples have been produced with. For processes see QMP EMEA 053 respectively process specifications 
118-18101-1 (close loop) or 
118-18101-2 (indirect close loop).</t>
        </r>
      </text>
    </comment>
    <comment ref="C43" authorId="0" shapeId="0" xr:uid="{00000000-0006-0000-0600-00001E000000}">
      <text>
        <r>
          <rPr>
            <sz val="8"/>
            <color indexed="81"/>
            <rFont val="Tahoma"/>
            <family val="2"/>
          </rPr>
          <t>Enter machine no# or machine / machine group identification</t>
        </r>
      </text>
    </comment>
    <comment ref="C44" authorId="1" shapeId="0" xr:uid="{00000000-0006-0000-0600-00001F000000}">
      <text>
        <r>
          <rPr>
            <sz val="9"/>
            <color indexed="81"/>
            <rFont val="Tahoma"/>
            <family val="2"/>
          </rPr>
          <t>Specify type / manufacturer of equipment and machine class /category / performance.</t>
        </r>
      </text>
    </comment>
    <comment ref="C45" authorId="1" shapeId="0" xr:uid="{6C0EFD7F-EA30-420C-99B7-BD458D400D99}">
      <text>
        <r>
          <rPr>
            <sz val="9"/>
            <color indexed="81"/>
            <rFont val="Tahoma"/>
            <family val="2"/>
          </rPr>
          <t>Enter production rate including units. Examples:
1000 strokes/min (stamping)
15 sec (mold)
2 m/min (plating)</t>
        </r>
      </text>
    </comment>
    <comment ref="C46" authorId="0" shapeId="0" xr:uid="{00000000-0006-0000-0600-000021000000}">
      <text>
        <r>
          <rPr>
            <sz val="8"/>
            <color indexed="81"/>
            <rFont val="Tahoma"/>
            <family val="2"/>
          </rPr>
          <t>For internal sampling: enter TE manufacturing order no#</t>
        </r>
      </text>
    </comment>
    <comment ref="C47" authorId="1" shapeId="0" xr:uid="{00000000-0006-0000-0600-000022000000}">
      <text>
        <r>
          <rPr>
            <sz val="9"/>
            <color indexed="81"/>
            <rFont val="Tahoma"/>
            <family val="2"/>
          </rPr>
          <t>Enter production rate including units. Examples:
1000 strokes/min (stamping)
15 sec (mold)
2 m/min (plating)</t>
        </r>
      </text>
    </comment>
    <comment ref="C48" authorId="3" shapeId="0" xr:uid="{00000000-0006-0000-0600-000023000000}">
      <text>
        <r>
          <rPr>
            <sz val="8"/>
            <color indexed="81"/>
            <rFont val="Tahoma"/>
            <family val="2"/>
          </rPr>
          <t xml:space="preserve">Enter quantity of cavities
</t>
        </r>
      </text>
    </comment>
    <comment ref="C49" authorId="3" shapeId="0" xr:uid="{00000000-0006-0000-0600-000024000000}">
      <text>
        <r>
          <rPr>
            <sz val="8"/>
            <color indexed="81"/>
            <rFont val="Tahoma"/>
            <family val="2"/>
          </rPr>
          <t>Specify the cavities that have been in use for the sampling</t>
        </r>
      </text>
    </comment>
    <comment ref="C50" authorId="1" shapeId="0" xr:uid="{00000000-0006-0000-0600-000025000000}">
      <text>
        <r>
          <rPr>
            <sz val="9"/>
            <color indexed="81"/>
            <rFont val="Tahoma"/>
            <family val="2"/>
          </rPr>
          <t>For molds:
provide the quantity of samples that have been measured and produced from same cavity.</t>
        </r>
      </text>
    </comment>
    <comment ref="C62" authorId="3" shapeId="0" xr:uid="{00000000-0006-0000-0600-000026000000}">
      <text>
        <r>
          <rPr>
            <sz val="8"/>
            <color indexed="81"/>
            <rFont val="Tahoma"/>
            <family val="2"/>
          </rPr>
          <t>If quality of report is rated 'rejected': enter a comment or circumsribe most important defiencies. Either choose from list (pull down menu) or enter own remarks. For typical errors see sheet "Help".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 Jith</author>
    <author>Mahesh AC</author>
    <author>Kumar S, Prakash</author>
  </authors>
  <commentList>
    <comment ref="K4" authorId="0" shapeId="0" xr:uid="{B425FD82-3E9D-4FBA-96DA-BBBD0ADF330F}">
      <text>
        <r>
          <rPr>
            <b/>
            <sz val="8"/>
            <color indexed="81"/>
            <rFont val="Tahoma"/>
            <family val="2"/>
          </rPr>
          <t>Alignment Description:</t>
        </r>
        <r>
          <rPr>
            <sz val="8"/>
            <color indexed="81"/>
            <rFont val="Tahoma"/>
            <family val="2"/>
          </rPr>
          <t xml:space="preserve">
Enter the alignment strategy used to measure the dimension if applicable
(E.g. A|B|C Alignment)</t>
        </r>
      </text>
    </comment>
    <comment ref="L4" authorId="1" shapeId="0" xr:uid="{A5CEA6F6-BE0D-45FB-9539-1E2A8CA91C16}">
      <text>
        <r>
          <rPr>
            <b/>
            <sz val="8"/>
            <color indexed="81"/>
            <rFont val="Tahoma"/>
            <family val="2"/>
          </rPr>
          <t>Remark Metrology:</t>
        </r>
        <r>
          <rPr>
            <sz val="8"/>
            <color indexed="81"/>
            <rFont val="Tahoma"/>
            <family val="2"/>
          </rPr>
          <t xml:space="preserve">
Either select inspection device from pull down or enter inspection comments (free text).
</t>
        </r>
        <r>
          <rPr>
            <sz val="9"/>
            <color indexed="81"/>
            <rFont val="Tahoma"/>
            <family val="2"/>
          </rPr>
          <t xml:space="preserve">
</t>
        </r>
      </text>
    </comment>
    <comment ref="N4" authorId="2" shapeId="0" xr:uid="{7EBE2CF8-EDC9-4D7F-894B-E9A438143694}">
      <text>
        <r>
          <rPr>
            <b/>
            <sz val="8"/>
            <color indexed="81"/>
            <rFont val="time"/>
          </rPr>
          <t>Report Reason:</t>
        </r>
        <r>
          <rPr>
            <sz val="8"/>
            <color indexed="81"/>
            <rFont val="time"/>
          </rPr>
          <t xml:space="preserve">
Enter the Reason for the Report. 
i.e FOT (If first sampling from tool) / Conditioning Loop / PPAP</t>
        </r>
      </text>
    </comment>
    <comment ref="O4" authorId="0" shapeId="0" xr:uid="{5C3235F3-C6E9-479C-B318-F297DB12E279}">
      <text>
        <r>
          <rPr>
            <b/>
            <sz val="8"/>
            <color indexed="81"/>
            <rFont val="Tahoma"/>
            <family val="2"/>
          </rPr>
          <t>Legend (To be selected for assessment and release)</t>
        </r>
        <r>
          <rPr>
            <sz val="8"/>
            <color indexed="81"/>
            <rFont val="Tahoma"/>
            <family val="2"/>
          </rPr>
          <t xml:space="preserve">:
</t>
        </r>
        <r>
          <rPr>
            <b/>
            <sz val="8"/>
            <color indexed="81"/>
            <rFont val="Tahoma"/>
            <family val="2"/>
          </rPr>
          <t xml:space="preserve">- = Part Conforms drawing </t>
        </r>
        <r>
          <rPr>
            <i/>
            <sz val="8"/>
            <color indexed="81"/>
            <rFont val="Tahoma"/>
            <family val="2"/>
          </rPr>
          <t>(Measurement/Observation meets Specification/Drawing requirements)</t>
        </r>
        <r>
          <rPr>
            <sz val="8"/>
            <color indexed="81"/>
            <rFont val="Tahoma"/>
            <family val="2"/>
          </rPr>
          <t xml:space="preserve">
</t>
        </r>
        <r>
          <rPr>
            <b/>
            <sz val="8"/>
            <color indexed="81"/>
            <rFont val="Tahoma"/>
            <family val="2"/>
          </rPr>
          <t xml:space="preserve">Z = Deviation is accepted </t>
        </r>
        <r>
          <rPr>
            <i/>
            <sz val="8"/>
            <color indexed="81"/>
            <rFont val="Tahoma"/>
            <family val="2"/>
          </rPr>
          <t xml:space="preserve">(Deviation is accepted for corresponding tool)
</t>
        </r>
        <r>
          <rPr>
            <b/>
            <sz val="8"/>
            <color indexed="81"/>
            <rFont val="Tahoma"/>
            <family val="2"/>
          </rPr>
          <t xml:space="preserve">D = Drawing need to be corrected </t>
        </r>
        <r>
          <rPr>
            <sz val="8"/>
            <color indexed="81"/>
            <rFont val="Tahoma"/>
            <family val="2"/>
          </rPr>
          <t xml:space="preserve">(Tool must be corrected to meet Specification /Drawng will be adjusted accordingly
</t>
        </r>
        <r>
          <rPr>
            <b/>
            <sz val="8"/>
            <color indexed="81"/>
            <rFont val="Tahoma"/>
            <family val="2"/>
          </rPr>
          <t>E = Tool need to be corrected
V1 = Released with reservation; related to a non-relevant function feature</t>
        </r>
        <r>
          <rPr>
            <sz val="8"/>
            <color indexed="81"/>
            <rFont val="Tahoma"/>
            <family val="2"/>
          </rPr>
          <t xml:space="preserve"> (e.g. Optic, Haptic)</t>
        </r>
        <r>
          <rPr>
            <b/>
            <sz val="8"/>
            <color indexed="81"/>
            <rFont val="Tahoma"/>
            <family val="2"/>
          </rPr>
          <t xml:space="preserve">
       </t>
        </r>
        <r>
          <rPr>
            <b/>
            <i/>
            <sz val="8"/>
            <color indexed="81"/>
            <rFont val="Tahoma"/>
            <family val="2"/>
          </rPr>
          <t xml:space="preserve"> </t>
        </r>
        <r>
          <rPr>
            <i/>
            <sz val="8"/>
            <color indexed="81"/>
            <rFont val="Tahoma"/>
            <family val="2"/>
          </rPr>
          <t>It could be revoked anytime.
         V1 releasing is valid only for one tool  (i.e. for duplication, replacement, original drawing tolerance apply)</t>
        </r>
        <r>
          <rPr>
            <sz val="8"/>
            <color indexed="81"/>
            <rFont val="Tahoma"/>
            <family val="2"/>
          </rPr>
          <t xml:space="preserve">
</t>
        </r>
        <r>
          <rPr>
            <b/>
            <sz val="8"/>
            <color indexed="81"/>
            <rFont val="Tahoma"/>
            <family val="2"/>
          </rPr>
          <t xml:space="preserve">V2 = Released with reservation; related to a function feature.
           </t>
        </r>
        <r>
          <rPr>
            <i/>
            <sz val="8"/>
            <color indexed="81"/>
            <rFont val="Tahoma"/>
            <family val="2"/>
          </rPr>
          <t xml:space="preserve">Decision basis for evaluation as </t>
        </r>
        <r>
          <rPr>
            <b/>
            <i/>
            <sz val="8"/>
            <color indexed="81"/>
            <rFont val="Tahoma"/>
            <family val="2"/>
          </rPr>
          <t>mandatory</t>
        </r>
        <r>
          <rPr>
            <i/>
            <sz val="8"/>
            <color indexed="81"/>
            <rFont val="Tahoma"/>
            <family val="2"/>
          </rPr>
          <t xml:space="preserve"> to be entered in </t>
        </r>
        <r>
          <rPr>
            <b/>
            <i/>
            <sz val="8"/>
            <color indexed="81"/>
            <rFont val="Tahoma"/>
            <family val="2"/>
          </rPr>
          <t>Remark PE</t>
        </r>
        <r>
          <rPr>
            <i/>
            <sz val="8"/>
            <color indexed="81"/>
            <rFont val="Tahoma"/>
            <family val="2"/>
          </rPr>
          <t xml:space="preserve"> field</t>
        </r>
        <r>
          <rPr>
            <sz val="8"/>
            <color indexed="81"/>
            <rFont val="Tahoma"/>
            <family val="2"/>
          </rPr>
          <t xml:space="preserve">
         </t>
        </r>
        <r>
          <rPr>
            <i/>
            <sz val="8"/>
            <color indexed="81"/>
            <rFont val="Tahoma"/>
            <family val="2"/>
          </rPr>
          <t xml:space="preserve">  It could be revoked  in case of : - Not passed product test(s) or
                                                        - Not passed product test(s), a customer deviation reject.
         V2 releasing is valid only for one tool  (i.e. for duplication, replacement, original drawing tolerance apply )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Dirk Walther</author>
  </authors>
  <commentList>
    <comment ref="A1" authorId="0" shapeId="0" xr:uid="{00000000-0006-0000-0900-000001000000}">
      <text>
        <r>
          <rPr>
            <b/>
            <sz val="9"/>
            <color indexed="81"/>
            <rFont val="Segoe UI"/>
            <family val="2"/>
          </rPr>
          <t>Inspection Device, ID:
Format: "Description, ID"</t>
        </r>
        <r>
          <rPr>
            <sz val="9"/>
            <color indexed="81"/>
            <rFont val="Segoe UI"/>
            <family val="2"/>
          </rPr>
          <t xml:space="preserve">
# Provide decriptive name all for devices used for inspection.
# Provide the inspection device ID within the laboratory. 
-&gt;By this traceablility is established to the lab's measurement system analysis 
in terms of audit.
-&gt; Suppliers provide the MSA together with the PPAP documents. Not necessary to add the MSA physically to the report.</t>
        </r>
      </text>
    </comment>
  </commentList>
</comments>
</file>

<file path=xl/sharedStrings.xml><?xml version="1.0" encoding="utf-8"?>
<sst xmlns="http://schemas.openxmlformats.org/spreadsheetml/2006/main" count="2115" uniqueCount="1793">
  <si>
    <t>Hier können Digitalbilder der Ausmessung eingefügt und mit Text versehen werden</t>
  </si>
  <si>
    <t>Messprotokoll</t>
  </si>
  <si>
    <t>Dimensional report</t>
  </si>
  <si>
    <t>Revision D</t>
  </si>
  <si>
    <t>Deutsch</t>
  </si>
  <si>
    <t>English</t>
  </si>
  <si>
    <t>Material</t>
  </si>
  <si>
    <t>Select quantity of Cavities from pull down list</t>
  </si>
  <si>
    <t>max cavities/ columns: 170</t>
  </si>
  <si>
    <t>Passwort:</t>
  </si>
  <si>
    <t>Error 1004 occured. Ppossibly the maximum quantity of colums is used, close (save) the file and open it again or delete empty colums manually.</t>
  </si>
  <si>
    <t>Fehler 1004 ist aufgetreten. Möglicherweise wurde die maximale Anzahl an Spalten belegt. Schließen (und speichern) Sie die Datei und öffnen Sie sie erneut oder löschen Sie unbenutzte Spalten von Hand.</t>
  </si>
  <si>
    <t>Legen Sie ein Passwort fest. Mindestlänge ist 4 Zeichen.</t>
  </si>
  <si>
    <t>Protect measuring results</t>
  </si>
  <si>
    <t>Messwerte sperren</t>
  </si>
  <si>
    <t>Wiederholung:</t>
  </si>
  <si>
    <t>trier</t>
  </si>
  <si>
    <t>Wählen Sie die Anzahl der Nester aus der Pull Down Liste</t>
  </si>
  <si>
    <t>Soll - Maß/ nominal:</t>
  </si>
  <si>
    <t>resulting limits:</t>
  </si>
  <si>
    <t>Tool Nr./</t>
  </si>
  <si>
    <t>Upper spec. limit (Tol+)</t>
  </si>
  <si>
    <t>tool no:</t>
  </si>
  <si>
    <t>Lower spec. limit (Tol-)</t>
  </si>
  <si>
    <t>CmU</t>
  </si>
  <si>
    <t>CmL</t>
  </si>
  <si>
    <t>b1</t>
  </si>
  <si>
    <t>c1</t>
  </si>
  <si>
    <t>RAL Farbe</t>
  </si>
  <si>
    <t>RAL Colour</t>
  </si>
  <si>
    <t>Lieferschein Nr</t>
  </si>
  <si>
    <t>Auftragsnummer</t>
  </si>
  <si>
    <t>Order #</t>
  </si>
  <si>
    <t>Comment:</t>
  </si>
  <si>
    <t>Disclaimer</t>
  </si>
  <si>
    <t>Erzeuge Messpositionen</t>
  </si>
  <si>
    <t>Erzeuge zusätzl. Messpositionen</t>
  </si>
  <si>
    <t>Name</t>
  </si>
  <si>
    <t>Positions</t>
  </si>
  <si>
    <t>Taguchi Quality Loss Function</t>
  </si>
  <si>
    <t>Create evaluation report</t>
  </si>
  <si>
    <t>Sperren der erfaßten Meßwerte</t>
  </si>
  <si>
    <t>Insert digital photos and explaining text concerning the measurement here.</t>
  </si>
  <si>
    <t>Freeze measurement values</t>
  </si>
  <si>
    <t>Function currently not in use</t>
  </si>
  <si>
    <t>Tyco Pn./ Tyco Pn#</t>
  </si>
  <si>
    <t>Gemessen von: 
Meassured by:</t>
  </si>
  <si>
    <t>Muster von/
Sample of:</t>
  </si>
  <si>
    <t>Musterdatum/
Sample date:</t>
  </si>
  <si>
    <t>Messmittel/
Measuring device:</t>
  </si>
  <si>
    <t>Evaluation Report</t>
  </si>
  <si>
    <t>Project-Nr.:</t>
  </si>
  <si>
    <t>Product description</t>
  </si>
  <si>
    <t>PN, Rev:</t>
  </si>
  <si>
    <t>Component</t>
  </si>
  <si>
    <t>DMTec Rev:</t>
  </si>
  <si>
    <t>Reason of Evaluation/ Quantity:</t>
  </si>
  <si>
    <t>Reference: internal Dimensional Report no.</t>
  </si>
  <si>
    <t>from</t>
  </si>
  <si>
    <t>valid for tool no.:</t>
  </si>
  <si>
    <t>Qty. of cavities</t>
  </si>
  <si>
    <t>Active cavities</t>
  </si>
  <si>
    <t>Remarks</t>
  </si>
  <si>
    <t>Detailed evaluation</t>
  </si>
  <si>
    <t>Description</t>
  </si>
  <si>
    <t>Unit</t>
  </si>
  <si>
    <t>cavity no</t>
  </si>
  <si>
    <t>nominal value</t>
  </si>
  <si>
    <t>upper tol.</t>
  </si>
  <si>
    <t>lower tol.</t>
  </si>
  <si>
    <t>actual value</t>
  </si>
  <si>
    <t>Evaluation</t>
  </si>
  <si>
    <t>Remark</t>
  </si>
  <si>
    <t>Minimum measuring</t>
  </si>
  <si>
    <t>Maximum measuring</t>
  </si>
  <si>
    <t>average value</t>
  </si>
  <si>
    <t>Standard deviation</t>
  </si>
  <si>
    <t>Quantity of measurements n:</t>
  </si>
  <si>
    <t>Messmittel Nr./
Measuring device no:</t>
  </si>
  <si>
    <t>Field</t>
  </si>
  <si>
    <t>Der Vorgang wurde durch den Benutzer abgebrochen.</t>
  </si>
  <si>
    <t>The process was canceled by user.</t>
  </si>
  <si>
    <t>msgPasswordCanceled</t>
  </si>
  <si>
    <t>Ein Blatt mit dem Namen "%s" existiert bereits!</t>
  </si>
  <si>
    <t>msgSheetExists</t>
  </si>
  <si>
    <t>Set password to lock measurement values</t>
  </si>
  <si>
    <t>btnPasswordLock</t>
  </si>
  <si>
    <t>btnPasswordUnlock</t>
  </si>
  <si>
    <t>Parameter</t>
  </si>
  <si>
    <t>LanguageNo</t>
  </si>
  <si>
    <t>txtCreateNest</t>
  </si>
  <si>
    <t>txtNestCount</t>
  </si>
  <si>
    <t>Anzahl</t>
  </si>
  <si>
    <t>txtInSheetNest</t>
  </si>
  <si>
    <t>Im Blatt DimensionalReport</t>
  </si>
  <si>
    <t>Kunde/ 
Customer:</t>
  </si>
  <si>
    <t>Stichprobenmessung von/
Date of random examination:</t>
  </si>
  <si>
    <t>In Sheet DimensionalReport</t>
  </si>
  <si>
    <t xml:space="preserve">Create measuring positions </t>
  </si>
  <si>
    <t>txtCreate</t>
  </si>
  <si>
    <t>Lines</t>
  </si>
  <si>
    <t>Create</t>
  </si>
  <si>
    <t>Zeilen</t>
  </si>
  <si>
    <t>Erzeuge</t>
  </si>
  <si>
    <t>txtLines</t>
  </si>
  <si>
    <t>Step</t>
  </si>
  <si>
    <t>Stufung</t>
  </si>
  <si>
    <t>txtStep</t>
  </si>
  <si>
    <t xml:space="preserve">Create add. measuring positions </t>
  </si>
  <si>
    <t>txtAddPos</t>
  </si>
  <si>
    <t>txtCreatePos</t>
  </si>
  <si>
    <t>txtAtPos</t>
  </si>
  <si>
    <t>txtSetLang</t>
  </si>
  <si>
    <t>Set Language</t>
  </si>
  <si>
    <t>Setze Sprache</t>
  </si>
  <si>
    <t>english</t>
  </si>
  <si>
    <t>deutsch</t>
  </si>
  <si>
    <t>msgIsProtected</t>
  </si>
  <si>
    <t>This function is only available if sheet is unprotect.</t>
  </si>
  <si>
    <t>Diese Funktion ist nur verfügbar, wenn das Blatt ungeschützt ist.</t>
  </si>
  <si>
    <t>Funktion ist momentan nicht aktiv</t>
  </si>
  <si>
    <t>Reference</t>
  </si>
  <si>
    <t>Referenz</t>
  </si>
  <si>
    <t>with Name</t>
  </si>
  <si>
    <t>mit Namen</t>
  </si>
  <si>
    <t>for</t>
  </si>
  <si>
    <t>für</t>
  </si>
  <si>
    <t>with</t>
  </si>
  <si>
    <t>mit</t>
  </si>
  <si>
    <t>Cavities</t>
  </si>
  <si>
    <t>Nester</t>
  </si>
  <si>
    <t>Positionen</t>
  </si>
  <si>
    <t>Betrifft alle enthaltenen Maßblätter</t>
  </si>
  <si>
    <t>Affects all included data sheets</t>
  </si>
  <si>
    <t>txtProtect</t>
  </si>
  <si>
    <t>txtConcernsAll</t>
  </si>
  <si>
    <t>txtCreateMCS</t>
  </si>
  <si>
    <t>txtCreateEvalRep</t>
  </si>
  <si>
    <t>txtCurrNotUsed</t>
  </si>
  <si>
    <t>txtReference</t>
  </si>
  <si>
    <t>txtWithName</t>
  </si>
  <si>
    <t>txtFor</t>
  </si>
  <si>
    <t>txtWith</t>
  </si>
  <si>
    <t>txtCavities</t>
  </si>
  <si>
    <t>txtPositions</t>
  </si>
  <si>
    <t>Unlock measurement values with password</t>
  </si>
  <si>
    <t>A sheet with name "%s" already exists!</t>
  </si>
  <si>
    <t>Create MCS sheet</t>
  </si>
  <si>
    <t>btnCreateTol</t>
  </si>
  <si>
    <t>btnCreateMCS</t>
  </si>
  <si>
    <t>btnCreateEvalu</t>
  </si>
  <si>
    <t>Erzeuge MCS Blatt</t>
  </si>
  <si>
    <t>Erzeuge Evaluation Report</t>
  </si>
  <si>
    <t>btnCreate</t>
  </si>
  <si>
    <t>Erzeugen</t>
  </si>
  <si>
    <t>Tool Projektleiter</t>
  </si>
  <si>
    <t>Tool Project Manager</t>
  </si>
  <si>
    <t>Rejected</t>
  </si>
  <si>
    <t>RatingComments</t>
  </si>
  <si>
    <t>CavWork</t>
  </si>
  <si>
    <t>a1</t>
  </si>
  <si>
    <t>txtDelCols</t>
  </si>
  <si>
    <t>Delete selected Columns</t>
  </si>
  <si>
    <t>Markierte Spalten löschen</t>
  </si>
  <si>
    <t>txtDelRows</t>
  </si>
  <si>
    <t>Delete selected Rows</t>
  </si>
  <si>
    <r>
      <t>Manipulace/ zacházení s PSW</t>
    </r>
    <r>
      <rPr>
        <sz val="10"/>
        <rFont val="Arial"/>
        <family val="2"/>
      </rPr>
      <t>:</t>
    </r>
  </si>
  <si>
    <r>
      <t>Poznámka</t>
    </r>
    <r>
      <rPr>
        <sz val="10"/>
        <rFont val="Arial"/>
        <family val="2"/>
      </rPr>
      <t>: PSW je vyžadováno pouze od externího dodavatele.</t>
    </r>
  </si>
  <si>
    <t>Vytiskněte formulář.</t>
  </si>
  <si>
    <t>! Vytištěný formulář podepište !</t>
  </si>
  <si>
    <t>Podepsaný tištěný formulář naskenujte. Preferovaný formát *.jpg. Nepoužívejte formát *.bmp!</t>
  </si>
  <si>
    <t>Zkopírujte a vložte naskenovaný formulář do listu „PSW“.</t>
  </si>
  <si>
    <t>Příklad vyplněného PSW:</t>
  </si>
  <si>
    <t>Vyplňte PSW formulář podle listu („PSW šablona“).</t>
  </si>
  <si>
    <t>Markierte Zeilen löschen</t>
  </si>
  <si>
    <t>txtShowTaguchi</t>
  </si>
  <si>
    <t>Show or hide Taguchi</t>
  </si>
  <si>
    <t>Zeige oder verberge Taguchi</t>
  </si>
  <si>
    <t>txtOK</t>
  </si>
  <si>
    <t>OK</t>
  </si>
  <si>
    <t>txtCancel</t>
  </si>
  <si>
    <t>Cancel</t>
  </si>
  <si>
    <t>Abbrechen</t>
  </si>
  <si>
    <t>msgRealyDelete</t>
  </si>
  <si>
    <t>Die Zeilen %s bis %s wirklich löschen?</t>
  </si>
  <si>
    <t>msgToLowSelect</t>
  </si>
  <si>
    <t>txtPositionNo</t>
  </si>
  <si>
    <t>Position No.</t>
  </si>
  <si>
    <t>Position Nr.</t>
  </si>
  <si>
    <t>txtDescriptionMetrology</t>
  </si>
  <si>
    <t>txtNominalValue</t>
  </si>
  <si>
    <t xml:space="preserve">Nominal </t>
  </si>
  <si>
    <t>Nominal</t>
  </si>
  <si>
    <t>txtUnit</t>
  </si>
  <si>
    <t>Einheit</t>
  </si>
  <si>
    <t>txtTol+</t>
  </si>
  <si>
    <t>Tol.+</t>
  </si>
  <si>
    <t>txtTol-</t>
  </si>
  <si>
    <t>Tol.-</t>
  </si>
  <si>
    <t>txtRemarkMetrology</t>
  </si>
  <si>
    <t>Remark Metrology</t>
  </si>
  <si>
    <t>txtDateMeasurement</t>
  </si>
  <si>
    <t>Date of Measurement</t>
  </si>
  <si>
    <t>Datum der Ausmessung</t>
  </si>
  <si>
    <t>txtReleasePE</t>
  </si>
  <si>
    <t>Release PE</t>
  </si>
  <si>
    <t>Freigabe PE</t>
  </si>
  <si>
    <t>txtActualDim</t>
  </si>
  <si>
    <t xml:space="preserve">actual Dim. </t>
  </si>
  <si>
    <t>Istmaß</t>
  </si>
  <si>
    <t>txtDeviation</t>
  </si>
  <si>
    <t>Sheet_Setup</t>
  </si>
  <si>
    <t>Sheet_DimensionalReport</t>
  </si>
  <si>
    <t>Lieferanten Werkzeugnr.</t>
  </si>
  <si>
    <t>txtTePnDesc</t>
  </si>
  <si>
    <t>TE Part Description*</t>
  </si>
  <si>
    <t>txtRemarkPe</t>
  </si>
  <si>
    <t>Remark PE</t>
  </si>
  <si>
    <t>Bemerkung PE</t>
  </si>
  <si>
    <t>Beschreibung</t>
  </si>
  <si>
    <t>Bemerkung Messlabor</t>
  </si>
  <si>
    <t>USL (Tol+)</t>
  </si>
  <si>
    <t>LSL (Tol-)</t>
  </si>
  <si>
    <t>Devia-tion</t>
  </si>
  <si>
    <t>Abwei-chung</t>
  </si>
  <si>
    <t>Sheet_HeaderData</t>
  </si>
  <si>
    <t>txtTEPN</t>
  </si>
  <si>
    <t>txtTEReport</t>
  </si>
  <si>
    <t>It's not allow to add/deleate lines between row 1 and %s.</t>
  </si>
  <si>
    <t>Zwischen den Zeilen 1 bis %s können keine Zeilen hinzugefügt oder gelöscht werden.</t>
  </si>
  <si>
    <t>Do you really want to delete rows %s to %s?</t>
  </si>
  <si>
    <t>MessageBox</t>
  </si>
  <si>
    <t>Button</t>
  </si>
  <si>
    <t>txtTypicErrorDo</t>
  </si>
  <si>
    <t>txtTypicErrorTitle</t>
  </si>
  <si>
    <t>Please avoid those typical errors with providing the dimensional report:</t>
  </si>
  <si>
    <t>Bitte vermeiden Sie diese typischen Fehler beim Erstellen des Ausmeßberichtes:</t>
  </si>
  <si>
    <t>txtTypicError01</t>
  </si>
  <si>
    <t>Master data in DocManager has an incorrect name.</t>
  </si>
  <si>
    <t>Name des Datensatzes im DocManager falsch.</t>
  </si>
  <si>
    <t>txtTypicError02</t>
  </si>
  <si>
    <t>New object created in DocManager for the Dimensional Report instead of revising the existing one.</t>
  </si>
  <si>
    <t>txtOVID</t>
  </si>
  <si>
    <t>txtTePnRev</t>
  </si>
  <si>
    <t>txtNetweight</t>
  </si>
  <si>
    <t>txtCBReason6</t>
  </si>
  <si>
    <t>&lt;select&gt;</t>
  </si>
  <si>
    <t>txtTeDwgRev</t>
  </si>
  <si>
    <t>txtTeDwgNo</t>
  </si>
  <si>
    <t>Ausmessbericht im DocManager unter neuem Namen eingestellt, anstelle den vorhandenen Datensatz zu revisionieren.</t>
  </si>
  <si>
    <t>txtTypicError03</t>
  </si>
  <si>
    <t>Excel file has an incorrect name.</t>
  </si>
  <si>
    <t>Name der Excel-Datei falsch.</t>
  </si>
  <si>
    <t>txtTypicError04</t>
  </si>
  <si>
    <t>Header data incorrect/ incomplete.</t>
  </si>
  <si>
    <t>Kopfdaten falsch/unvollständig.</t>
  </si>
  <si>
    <t>txtTypicError05</t>
  </si>
  <si>
    <t>Numbering of positions not correct/ doesn't mirror the numbers on the drawing.</t>
  </si>
  <si>
    <t>Falsche Ausmesszeichnung/ Positionsnummerierung verwendet, neu durchnummeriert.</t>
  </si>
  <si>
    <t>txtTypicError06</t>
  </si>
  <si>
    <t>txtTypicError07</t>
  </si>
  <si>
    <t>Measuring of shapes and orientation incorrect or mistakable.</t>
  </si>
  <si>
    <t>Falsche / nicht verständliche Ausmessung der Form- und Lagetoleranzen.</t>
  </si>
  <si>
    <t>txtTypicError08</t>
  </si>
  <si>
    <t>Measuring incomplete, positions are missing.</t>
  </si>
  <si>
    <t>Ausmessung unvollständig/ Positionen fehlen.</t>
  </si>
  <si>
    <t>txtTypicError09</t>
  </si>
  <si>
    <t>Form is modified in forbidden way.</t>
  </si>
  <si>
    <t>Formular in unzulässiger Weise modifiziert.</t>
  </si>
  <si>
    <t>txtTypicError10</t>
  </si>
  <si>
    <t>txtTypicError11</t>
  </si>
  <si>
    <t>Build</t>
  </si>
  <si>
    <t>Istmaße der unveränderten Maße aus vorhergehenden Ausmessungen fehlen.</t>
  </si>
  <si>
    <t>txtTypicError12</t>
  </si>
  <si>
    <t>New columns are entered to add new measurement result to the preceding measuring.</t>
  </si>
  <si>
    <t>Neue Spalten eingefügt, weil man die alten Maße nicht überschreiben wollte.</t>
  </si>
  <si>
    <t>txtTypicError13</t>
  </si>
  <si>
    <t>Dimensions and tolerances are transferred incorrectly from measuring drawing.</t>
  </si>
  <si>
    <t>Sheet_Setup D5</t>
  </si>
  <si>
    <t>Maße, Toleranzen aus der Zeichnung fehlerhaft übertragen.</t>
  </si>
  <si>
    <t>txtTypicError14</t>
  </si>
  <si>
    <t>Check measuring results for obviously incorrect values.</t>
  </si>
  <si>
    <t>Überprüfen Sie den Ausmeßbericht auf Messfehler oder offensichtlich falsche Maße.</t>
  </si>
  <si>
    <t>txtTypicError15</t>
  </si>
  <si>
    <t>Check measuring results if several results are identical in ALL decimal places, even in 1/100.</t>
  </si>
  <si>
    <t>Sheet_Pictures</t>
  </si>
  <si>
    <t>txtTypicError16</t>
  </si>
  <si>
    <t>txtTypicError17</t>
  </si>
  <si>
    <t xml:space="preserve">Ausmesszeichnung soll nicht in die Excel-Datei eingefügt werden. Nur Bilder oder eine Schemazeichnung  </t>
  </si>
  <si>
    <t xml:space="preserve">   zur Ausrichtung des Teiles und der Koordinaten der Messung einfügen. Ausmesszeichnungen sollen als</t>
  </si>
  <si>
    <t xml:space="preserve">   eigenständige Datei dem Ausmessbericht in DM.TEC beigefügt werden ("Actions", "Add Content…")</t>
  </si>
  <si>
    <t xml:space="preserve">  as seperate document towards the dimensional report within DM.TEC (menu "actions" \ "Add content…").</t>
  </si>
  <si>
    <t>Bedingte Formatierungen im Formular gelöscht oder überschrieben.</t>
  </si>
  <si>
    <t>Conditional formats are deleted or overwritten in form.</t>
  </si>
  <si>
    <t>Dimensions from previous measuring are missing.</t>
  </si>
  <si>
    <t>Messbericht enthält Verknüpfungen zu anderen Dateien.</t>
  </si>
  <si>
    <t>txtTypicError18</t>
  </si>
  <si>
    <t>Selecteer het aantal caviteiten uit de keuzelijst</t>
  </si>
  <si>
    <t>of geef manueel een andere waarde</t>
  </si>
  <si>
    <t>max caviteiten / kolommen: 170</t>
  </si>
  <si>
    <t>Geef paswoord in. De minimum lengte is 4 karakters.</t>
  </si>
  <si>
    <t>Protectie meetresultaten</t>
  </si>
  <si>
    <t>Paswoord:</t>
  </si>
  <si>
    <t>Heringave van Paswoord:</t>
  </si>
  <si>
    <t>Protectie afzetten</t>
  </si>
  <si>
    <t>Error 1004 komt voor. Waarschijnlijk is het maximaal aantal kolommen bereikt. Bewaar en sluit het bestand en open het bestand nogmaals of wis de lege kolommen manueel.</t>
  </si>
  <si>
    <t>Überprüfen Sie den Meßbericht, wenn sich eine Reihe von Messwerten aufs 1/100 gleichen.</t>
  </si>
  <si>
    <t>Dimensional Report contains links towards other files.</t>
  </si>
  <si>
    <t>Acceptance of report - to be filled out by Product Eng. only!</t>
  </si>
  <si>
    <t>Erzeuge Nester</t>
  </si>
  <si>
    <t>Create Cavities</t>
  </si>
  <si>
    <t>Quantity</t>
  </si>
  <si>
    <t>msgNoPosNo</t>
  </si>
  <si>
    <t>txtMandatory</t>
  </si>
  <si>
    <t>*) Campo obbligatorio</t>
  </si>
  <si>
    <t>txtLotNo</t>
  </si>
  <si>
    <t>TE Control Report Nr. **</t>
  </si>
  <si>
    <t>TE Číslo kontrolní zprávy **</t>
  </si>
  <si>
    <t>TE Kontrollberichtsnr. **</t>
  </si>
  <si>
    <t>Número de informe de control **</t>
  </si>
  <si>
    <t>TE N° rapport **</t>
  </si>
  <si>
    <t>Rapporto Dimensionale TE n. **</t>
  </si>
  <si>
    <t>TE  Meetberichtsnr. **</t>
  </si>
  <si>
    <t>txtRegrind</t>
  </si>
  <si>
    <t>Hinweis: das Blatt wurde erzeugt, aber die angegebene Positionsnummer exisitert nicht. Bitte tragen Sie die Referenz im DimensionalReport manuel ein.</t>
  </si>
  <si>
    <t>Note: the sheet is created but the specified position# doesn't exist. Please add the reference to the DimensionalReport sheet, manually.</t>
  </si>
  <si>
    <t>txtTEReportRevision</t>
  </si>
  <si>
    <t>Revision of Dimensional Report</t>
  </si>
  <si>
    <t>Revision der Ausmessung</t>
  </si>
  <si>
    <t>txtName</t>
  </si>
  <si>
    <t>At position</t>
  </si>
  <si>
    <t>An Position</t>
  </si>
  <si>
    <t>txtCreateTolDiameter</t>
  </si>
  <si>
    <t>txtCreateTolRect</t>
  </si>
  <si>
    <t>Sheet_Help</t>
  </si>
  <si>
    <t>txtRelatedDocu</t>
  </si>
  <si>
    <t>Additional documentation</t>
  </si>
  <si>
    <t>Mitgeltende Unterlagen</t>
  </si>
  <si>
    <t>txtRelatedDocuNr</t>
  </si>
  <si>
    <t>Number</t>
  </si>
  <si>
    <t>Nummer</t>
  </si>
  <si>
    <t>txtRelatedDocuType</t>
  </si>
  <si>
    <t>Type</t>
  </si>
  <si>
    <t>Typ</t>
  </si>
  <si>
    <t>txtRelatedDocuName</t>
  </si>
  <si>
    <t>txtRelatedDocuRemark</t>
  </si>
  <si>
    <t>Hinweis</t>
  </si>
  <si>
    <t>txtRelatedDocuDmTec1</t>
  </si>
  <si>
    <t>Aktuelle Versionen dieser Dokumente sind über DmTec bzw. DocManager zu beziehen!</t>
  </si>
  <si>
    <t>txtRelatedDocuDmTec2</t>
  </si>
  <si>
    <t>PE-AUT-AA-00011</t>
  </si>
  <si>
    <t>Procedure</t>
  </si>
  <si>
    <t>Verwaltung des Ausmeßberichtes</t>
  </si>
  <si>
    <t>Working directive managing Dimensional Reports</t>
  </si>
  <si>
    <t>Template</t>
  </si>
  <si>
    <t>This document</t>
  </si>
  <si>
    <t>This Document</t>
  </si>
  <si>
    <t>PE-AUT-AV-00011-FAQ</t>
  </si>
  <si>
    <t>Manual</t>
  </si>
  <si>
    <t>Anleitung zur Verwaltung des Ausmeßberichtes</t>
  </si>
  <si>
    <t>Dimensional Report</t>
  </si>
  <si>
    <t>txtTEFormDescription</t>
  </si>
  <si>
    <t>Manual for handling and managing Dimensional Reports</t>
  </si>
  <si>
    <t>PE-AUT-AV-00011-SD</t>
  </si>
  <si>
    <t>Dimension Report - supplier documentation</t>
  </si>
  <si>
    <t>Detailed manual for creation of Dimensional Reports</t>
  </si>
  <si>
    <t>Geselecteerde taal:</t>
  </si>
  <si>
    <t>Gegevens van delen</t>
  </si>
  <si>
    <t>Meetgegevens</t>
  </si>
  <si>
    <t>TE Contacten</t>
  </si>
  <si>
    <t>Leveranciersreferentie</t>
  </si>
  <si>
    <t>Materiaalgegevens</t>
  </si>
  <si>
    <t>Productiegegevens</t>
  </si>
  <si>
    <t>Netto Gewicht [gr]*</t>
  </si>
  <si>
    <t>Machinetype en grootte</t>
  </si>
  <si>
    <t>Productietype</t>
  </si>
  <si>
    <t>Productieritme</t>
  </si>
  <si>
    <t>&lt;selecteren&gt;</t>
  </si>
  <si>
    <t>**)  Verplicht, Meting door leverancier: T&amp;D/ intern: Meetkamer</t>
  </si>
  <si>
    <t>For latest versions of these documents check at DmTec or DocManager!</t>
  </si>
  <si>
    <t>Object in DocManager not revised - new created instead.</t>
  </si>
  <si>
    <t>Numbering of positions not correct/ not according drawing.</t>
  </si>
  <si>
    <t>Full measuring drawing is inserted into dimensional report.</t>
  </si>
  <si>
    <t>New columns are entered instead of lines to add new measurement result to the preceding measuring.</t>
  </si>
  <si>
    <t>Obviously incorrect values.</t>
  </si>
  <si>
    <t>txtComment</t>
  </si>
  <si>
    <t>txtAcceptanceReport</t>
  </si>
  <si>
    <t>Produktions Typ</t>
  </si>
  <si>
    <t>Maschinen Typ und Größe</t>
  </si>
  <si>
    <t>Produktions Takt</t>
  </si>
  <si>
    <t>Akzeptanz des Meßberichts. Nur vom Product Eng. auszufüllen!</t>
  </si>
  <si>
    <t>Kommentar:</t>
  </si>
  <si>
    <t>TE Abteilungsleiter PE</t>
  </si>
  <si>
    <t>TE Dept. Man. PE</t>
  </si>
  <si>
    <t>TE Report #</t>
  </si>
  <si>
    <t>TE KB Nr.</t>
  </si>
  <si>
    <t>Formula</t>
  </si>
  <si>
    <t>Temporary disabled</t>
  </si>
  <si>
    <t>Create position tolerance sheet (diameter)</t>
  </si>
  <si>
    <t>Create position tolerance sheet (rectangular)</t>
  </si>
  <si>
    <t>Setze Kennwort zum Sperren der Messwerte</t>
  </si>
  <si>
    <t>Messdaten mit Kennwort entsperren</t>
  </si>
  <si>
    <t>Create position tolerance sheet</t>
  </si>
  <si>
    <t>Erzeuge Positionstoleranzen Blatt</t>
  </si>
  <si>
    <t>Machine Capability Study - Machinenfähigkeitsstudie</t>
  </si>
  <si>
    <t>Process Capability Study - Prozessfähigkeitsstudie</t>
  </si>
  <si>
    <t>Analyse:</t>
  </si>
  <si>
    <t>Machine Capability</t>
  </si>
  <si>
    <t>Process Capability</t>
  </si>
  <si>
    <t>Erzeuge Blatt für Positionstoleranzen (rechtwinklig)</t>
  </si>
  <si>
    <t>Erzeuge Blatt für Positionstoleranzen (Durchmesser)</t>
  </si>
  <si>
    <t>msgToolBarExists</t>
  </si>
  <si>
    <t>Diese Datei darf nur einmal in einer Excelanwendung laufen. Starten Sie eine neue Excelanwendung und laden dann die Datei erneut.</t>
  </si>
  <si>
    <t>aanmaken</t>
  </si>
  <si>
    <t>er bestaat al een sheet met de naam "%s" !</t>
  </si>
  <si>
    <t>deze functie is enkel beschikbaar bij vrijgeschakelde sheet</t>
  </si>
  <si>
    <t>het is niet toegelaten lijnen bij te voegen of te wissen tussen rij 1 to %s</t>
  </si>
  <si>
    <t>positietolerantieblad aanmaken</t>
  </si>
  <si>
    <t>Naam</t>
  </si>
  <si>
    <t>Tol. +</t>
  </si>
  <si>
    <t>Tol. -</t>
  </si>
  <si>
    <t>proces buiten gesmeten door  gebruiker</t>
  </si>
  <si>
    <t>de lijnen %s tot %s echt wissen?</t>
  </si>
  <si>
    <t>opmerking: het blad is angemaakt, maar dit positienummer bestaat niet. Nieuwe referentie in het DimensionalReport manueel invullen a.u.b.</t>
  </si>
  <si>
    <t>Paswoord invoegen om meetwaarde te beveiligen</t>
  </si>
  <si>
    <t>Beveiligde meetwaarde vrijschakelen</t>
  </si>
  <si>
    <t>MCS blad aanmaken</t>
  </si>
  <si>
    <t>evaluatie rapport aanmaken</t>
  </si>
  <si>
    <t>Kies taal</t>
  </si>
  <si>
    <t>Caviteit aanmaken</t>
  </si>
  <si>
    <t>Hoeveelheid</t>
  </si>
  <si>
    <t>In blad dimensional report</t>
  </si>
  <si>
    <t>Meetpositie aanmaken</t>
  </si>
  <si>
    <t>Aanmaken</t>
  </si>
  <si>
    <t>Lijnen</t>
  </si>
  <si>
    <t>Stap</t>
  </si>
  <si>
    <t>Bijkomende meetpositie aanmaken</t>
  </si>
  <si>
    <t>Op positie</t>
  </si>
  <si>
    <t>Blad voor positietolerantie aanmaken (diameter)</t>
  </si>
  <si>
    <t>Blad voor positietolerantie aanmaken (rechthoek)</t>
  </si>
  <si>
    <t>Opgenomen meetwarde beveiligen</t>
  </si>
  <si>
    <t>Momenteel niet beschikbaar</t>
  </si>
  <si>
    <t>Heeft invloed op alle meetbladen in dit bestand</t>
  </si>
  <si>
    <t>Referentie</t>
  </si>
  <si>
    <t>Met naam</t>
  </si>
  <si>
    <t>Voor</t>
  </si>
  <si>
    <t>txtInfo1CreateCavities</t>
  </si>
  <si>
    <t>txtInfo2CreateCavities</t>
  </si>
  <si>
    <t>or enter manually</t>
  </si>
  <si>
    <t>oder geben Sie die Anzahl manuell ein</t>
  </si>
  <si>
    <t>txtInfoCreateCavitiesErr</t>
  </si>
  <si>
    <t>maximale Anzahl: 170</t>
  </si>
  <si>
    <t>txtInfoProtect</t>
  </si>
  <si>
    <t>Please assign any password. The minimum length is 4 characters.</t>
  </si>
  <si>
    <t>txtPwd1Protect</t>
  </si>
  <si>
    <t>Password:</t>
  </si>
  <si>
    <t>txtPwd2Protect</t>
  </si>
  <si>
    <t>Password retray:</t>
  </si>
  <si>
    <t>txtPwdUnprotect</t>
  </si>
  <si>
    <t>Met</t>
  </si>
  <si>
    <t>Caviteit</t>
  </si>
  <si>
    <t>Positie</t>
  </si>
  <si>
    <t>Functie is momenteel niet aktief</t>
  </si>
  <si>
    <t>Geselecteerde kolom wissen</t>
  </si>
  <si>
    <t>Geselecteerde lijn wissen</t>
  </si>
  <si>
    <t>Toon of verberg Taguchi</t>
  </si>
  <si>
    <t>Afbreken</t>
  </si>
  <si>
    <t>Positie nr</t>
  </si>
  <si>
    <t>Omschrijving</t>
  </si>
  <si>
    <t>Nominaal</t>
  </si>
  <si>
    <t>Opmerking meetkamer</t>
  </si>
  <si>
    <t>Eenheid</t>
  </si>
  <si>
    <t>Opmerking PE</t>
  </si>
  <si>
    <t>Vrijgave PE</t>
  </si>
  <si>
    <t>Commentaar</t>
  </si>
  <si>
    <t>Gemeten waarde</t>
  </si>
  <si>
    <t>Afwij-king</t>
  </si>
  <si>
    <t>TE KB nr.</t>
  </si>
  <si>
    <t>Bijkomende documenten</t>
  </si>
  <si>
    <t>Opmerking</t>
  </si>
  <si>
    <t>Actuele versie van deze documenten zijn van doc.manager af te halen</t>
  </si>
  <si>
    <t>Aanvaarding van meetbericht enkel door ontwikkeling in te vullen</t>
  </si>
  <si>
    <t>Hier kunnen digitale foto's van de uitmeting ingevoegd en met tekst voorzien worden</t>
  </si>
  <si>
    <t>Vermijd deze typische fout bij het aanmaken van een meetbericht:</t>
  </si>
  <si>
    <t>Hoofding is foutief of onvolledig</t>
  </si>
  <si>
    <t>Naam van excel-bestand is foutief</t>
  </si>
  <si>
    <t>Foutieve uitmeettekening/ positiebenummering, nieuw benummerd</t>
  </si>
  <si>
    <t>Uitmeettekening niet in excel-bestand opnemen, enkel foto's of schetsen</t>
  </si>
  <si>
    <t>Foutieve/onverstaanbare uitmeting van vorm- en positietolerantie</t>
  </si>
  <si>
    <t>Uitmeting niet volledig/posities ontbreken</t>
  </si>
  <si>
    <t>Formulier op ontoelaatbare manier veranderd</t>
  </si>
  <si>
    <t>Gemeten waardes van niet veranderde maten uit de vorige meting ontbreken</t>
  </si>
  <si>
    <t>Nieuwe kolom bijgevoegd, omdat men de oude maten niet wilde overschrijven</t>
  </si>
  <si>
    <t>Maten, toleranties foutief uit de tekening overgenomen</t>
  </si>
  <si>
    <t>Controleer het meetbericht op meetfouten of duidelijk foutieve maten</t>
  </si>
  <si>
    <t>Meetbericht bevat links naar andere bestanden</t>
  </si>
  <si>
    <t>txtPosTolDiaErr</t>
  </si>
  <si>
    <t>txtPosTolRectErr</t>
  </si>
  <si>
    <t>Naam van de data op doc.manager niet in orde</t>
  </si>
  <si>
    <t>Meetbericht op doc.manager onder nieuwe naam ingevoerd, in plaats van een nieuwe revisie aan te maken van het bestaande meetbericht</t>
  </si>
  <si>
    <t xml:space="preserve">   zelfstandig bestand bij het meetbericht op doc.manager bijgevoegd worden ("action", "add content…")</t>
  </si>
  <si>
    <t>Voorwaardelijke opmaak in het formulier gewist of overschreven</t>
  </si>
  <si>
    <t>Controleer het meetbericht, wanneer een rij van meetwaardes tot op 1/100 gelijk zijn</t>
  </si>
  <si>
    <t>This file could only run unique in one Excel application. Start a new Excel applicaton and load the file in that session.</t>
  </si>
  <si>
    <t>Revision of Report</t>
  </si>
  <si>
    <t>Release</t>
  </si>
  <si>
    <t xml:space="preserve">   Uitleg over uitlijning van het deel en de coordinaten van de metingen invoegen. Uitmeettekeningen zullen als</t>
  </si>
  <si>
    <t>Measuring drawing is inserted into dimensional report. Only insert pictures or an extract:</t>
  </si>
  <si>
    <t xml:space="preserve">   explaining orientation and coordinates of measured part. Measurement drawings should be attached</t>
  </si>
  <si>
    <t>L'évènement a été annulé par l'utilisateur.</t>
  </si>
  <si>
    <t>Une feuille nommée "%s" existe déjà.</t>
  </si>
  <si>
    <t>Cette fonction est seulement disponible lorsque la feuille n'est pas protégée.</t>
  </si>
  <si>
    <t>Il nest pas autorisé d'ajouter ou supprimer des lignes entre la rangée 1 et %s.</t>
  </si>
  <si>
    <t>Voulez-vous réellement supprimer les rangées %s à %s?</t>
  </si>
  <si>
    <t>Seleccionar número de Cavidades para activar la lista</t>
  </si>
  <si>
    <t>o introducir manualmente</t>
  </si>
  <si>
    <t>cavidades máximas/ columna: 170</t>
  </si>
  <si>
    <t>Por favor asigne cualquier contraseña. La longitud mínima es 4 caracteres.</t>
  </si>
  <si>
    <t>Protección de los resultados de medición</t>
  </si>
  <si>
    <t>Contraseña:</t>
  </si>
  <si>
    <t>Reintentar contraseña:</t>
  </si>
  <si>
    <t>Desprotegido:</t>
  </si>
  <si>
    <t>Ha ocurrido el Error 1004. Posiblemente se ha alcanzado el número máximo de columnas. Guarde y cierre el archivo y ábralo de nuevo o elimine las columnas vacías manualmente.</t>
  </si>
  <si>
    <t>Comenzar</t>
  </si>
  <si>
    <t>máximo: 84</t>
  </si>
  <si>
    <t>máximo: 124</t>
  </si>
  <si>
    <t>Informe Dimensional</t>
  </si>
  <si>
    <t>TE Tool Number*</t>
  </si>
  <si>
    <t>Nota: la feuille est créée mais l'emplacement spécifié # n'existe pas. Veuillez le préciser manuellement dans le DimensionalReport.</t>
  </si>
  <si>
    <t>txtCaptionProtect</t>
  </si>
  <si>
    <t>txtCaptionUnprotect</t>
  </si>
  <si>
    <t>Unprotect</t>
  </si>
  <si>
    <t>Schutz aufheben</t>
  </si>
  <si>
    <t>Nota: Il PSW è richiesto solamente dai Fornitori esterni.</t>
  </si>
  <si>
    <t>Compilare il modulo del PSW (foglio "PSW template")</t>
  </si>
  <si>
    <t>Stampa il modulo</t>
  </si>
  <si>
    <t>! Firma il modulo stampato !</t>
  </si>
  <si>
    <t>Scansiona la stampa firmata. Preferibilmente in formato *.jpg. Non utilizzare il formato *.bmp!</t>
  </si>
  <si>
    <t>Copia&amp;Incolla la scansione nel foglio "PSW".</t>
  </si>
  <si>
    <t>Esempio di un PSW completato:</t>
  </si>
  <si>
    <t>Traitement de la PSW:</t>
  </si>
  <si>
    <t>txtMaterialNo</t>
  </si>
  <si>
    <t>Delivery reference #</t>
  </si>
  <si>
    <t>Remarque: Le PSW est demandé  seulement auprès de sous traitant /fournisseurs</t>
  </si>
  <si>
    <t>Remplissez le formulaire PSW (onglet "PSW template")</t>
  </si>
  <si>
    <t>Imprimer le formulaire</t>
  </si>
  <si>
    <t>! Signé sur l'imprimé papier!</t>
  </si>
  <si>
    <t>Scannez l'imprimé papier signé.  Préférez  *. Jpg. Ne pas utiliser *. Bmp!</t>
  </si>
  <si>
    <t>Copiez&amp;collez le scan dans l'onglet "PSW".</t>
  </si>
  <si>
    <t>Seleziona il numero di impronte stampo dall'elenco a discesa</t>
  </si>
  <si>
    <t>o inserisci manualmente</t>
  </si>
  <si>
    <t>Max n. impronte / colonne: 170</t>
  </si>
  <si>
    <t>Prego assegnare una qualsiasi password. La lunghezza minima è di 4 caratteri.</t>
  </si>
  <si>
    <t>Proteggi i risultati delle misurazioni.</t>
  </si>
  <si>
    <t>Password nuovo tentativo:</t>
  </si>
  <si>
    <t>Rimuovi la protezione</t>
  </si>
  <si>
    <t>Si è verificato l'errore 1004. Probabilmente è stato utilizzato il massimo numero di colonne, chiudi (salva) il file e aprilo di nuovo o cancella manualmente le colonne vuote.</t>
  </si>
  <si>
    <t>Inizio</t>
  </si>
  <si>
    <t>Massimo: 84</t>
  </si>
  <si>
    <t>Massimo: 124</t>
  </si>
  <si>
    <t>Ce fichier est utilisable uniquement dans une application Excel. Démarrer une nouvelle application Excel et chargez le fichier dans cette session.</t>
  </si>
  <si>
    <t>Créer</t>
  </si>
  <si>
    <t>Créer une feuille position-tolérance</t>
  </si>
  <si>
    <t>Verrouiller avec un mot de passe les valeurs mesurées</t>
  </si>
  <si>
    <t>Déverrouiller avec un mot de passe les valeurs mesurées</t>
  </si>
  <si>
    <t>Créer une feuille MCS</t>
  </si>
  <si>
    <t>Créer un rapport d"évaluation</t>
  </si>
  <si>
    <t>Sélectionner une langue</t>
  </si>
  <si>
    <t>Créer des empreintes</t>
  </si>
  <si>
    <t>Quantité</t>
  </si>
  <si>
    <t>Mise en page DimensionalReport</t>
  </si>
  <si>
    <t>Créer des cotes</t>
  </si>
  <si>
    <t>Lignes</t>
  </si>
  <si>
    <t>Etapes</t>
  </si>
  <si>
    <t>Créer ajouter des cotes</t>
  </si>
  <si>
    <t>A la position</t>
  </si>
  <si>
    <t>Créer une feuille de Tolérance circulaire</t>
  </si>
  <si>
    <t>msgDimRepErr1004</t>
  </si>
  <si>
    <t>Créer une feuille de Tolérance rectangulaires</t>
  </si>
  <si>
    <t>Protéger les valeurs mesurées</t>
  </si>
  <si>
    <t>Affecte toutes les feuilles de données</t>
  </si>
  <si>
    <t>Temporairement désactivé</t>
  </si>
  <si>
    <t>Référence</t>
  </si>
  <si>
    <t>Avec nom</t>
  </si>
  <si>
    <t>Pour</t>
  </si>
  <si>
    <t>Avec</t>
  </si>
  <si>
    <t>Cavités</t>
  </si>
  <si>
    <t>Fonction non utilisée actuellement</t>
  </si>
  <si>
    <t>Supprimer les colonnes sélectionnées</t>
  </si>
  <si>
    <t>Supprimer les rangées sélectionnées</t>
  </si>
  <si>
    <t>Montrer ou cacher Taguchi</t>
  </si>
  <si>
    <t>Annuler</t>
  </si>
  <si>
    <t>Nom</t>
  </si>
  <si>
    <t>Position n°</t>
  </si>
  <si>
    <t>Tolérance maxi</t>
  </si>
  <si>
    <t>Tolérance mini</t>
  </si>
  <si>
    <t>Remarque du service métrologie</t>
  </si>
  <si>
    <t>Remarque de l'ingénieurie produit</t>
  </si>
  <si>
    <t>Date de mesurement</t>
  </si>
  <si>
    <t>Validation de l'ingénieurie produit</t>
  </si>
  <si>
    <t>TE n° de rapport</t>
  </si>
  <si>
    <t>Révision du rapport dimensionel</t>
  </si>
  <si>
    <t>Commentaires:</t>
  </si>
  <si>
    <t>Rapport d'acceptation, à remplir uniquement par l'ingénieur produit!</t>
  </si>
  <si>
    <t>Insérer photos numériques et textes explicatifs concernant ces mesurements</t>
  </si>
  <si>
    <t>Display language</t>
  </si>
  <si>
    <t>Inspector</t>
  </si>
  <si>
    <t>TE Part Number &amp; Rev</t>
  </si>
  <si>
    <t>TE Drawing Number &amp; Rev</t>
  </si>
  <si>
    <t>Documentation additionelle</t>
  </si>
  <si>
    <t>Numéro</t>
  </si>
  <si>
    <t>Remarques</t>
  </si>
  <si>
    <t>Accéder aux versions antérieures des ces documents dans DmTec ou DocManager!</t>
  </si>
  <si>
    <t>Fournisseurs extérieurs: contacter votre responsable développement outillage pour obtenir la dernière version de la documentation fournisseur.</t>
  </si>
  <si>
    <t>Eviter, s'il vous plait, ce type d'erreur en fournissant le rapport de métrologie:</t>
  </si>
  <si>
    <t>Données d'origines dans Doc Manager avec un nom incorrect.</t>
  </si>
  <si>
    <t>txtCreateMPosQuantity</t>
  </si>
  <si>
    <t>txtRelatedDocuPSW1</t>
  </si>
  <si>
    <t>txtRelatedDocuPSW2</t>
  </si>
  <si>
    <t>Ejemplo de PSW completo:</t>
  </si>
  <si>
    <t>Exemple pour un formulaire PSW:</t>
  </si>
  <si>
    <t>txtRelatedDocuPSWExample</t>
  </si>
  <si>
    <t>! Sign the paper print !</t>
  </si>
  <si>
    <t>txtRelatedDocuPSW3</t>
  </si>
  <si>
    <t>Handling the PSW:</t>
  </si>
  <si>
    <t>Print out the form</t>
  </si>
  <si>
    <t>Copy&amp;Paste the scan into the sheet "PSW".</t>
  </si>
  <si>
    <t>Scan the signed print. Prefer *.jpg. Don't use *.bmp!</t>
  </si>
  <si>
    <t>txtRelatedDocuPSW4</t>
  </si>
  <si>
    <t>txtRelatedDocuPSW5</t>
  </si>
  <si>
    <t>txtRelatedDocuPSW6</t>
  </si>
  <si>
    <t>Example for a completed PSW:</t>
  </si>
  <si>
    <t>Fill out the PSW form (sheet "PSW template")</t>
  </si>
  <si>
    <t>Vorgehensweise zum PSW:</t>
  </si>
  <si>
    <t>! Unterschreiben des Formulars !</t>
  </si>
  <si>
    <t>Beispiel für ein ausgefülltes PSW Blatt:</t>
  </si>
  <si>
    <t>Fügen Sie den Scan in das Blatt "PSW" ein.</t>
  </si>
  <si>
    <t>txtCreateMPosStep</t>
  </si>
  <si>
    <t>txtCreateMPosStart</t>
  </si>
  <si>
    <t>Start</t>
  </si>
  <si>
    <t>Schrittweite</t>
  </si>
  <si>
    <t>Specification</t>
  </si>
  <si>
    <t>109-18166</t>
  </si>
  <si>
    <t>Vorgehensweise bei Messungen</t>
  </si>
  <si>
    <t>Guideline for measuring</t>
  </si>
  <si>
    <t>Nouvel objet créé dans DocManager pour le rapport dimmensionel au lieu de réviser le rapport existant.</t>
  </si>
  <si>
    <t>Fichier Excel nommé de façon incorrecte</t>
  </si>
  <si>
    <t>Données de base incorrectes ou incomplètes</t>
  </si>
  <si>
    <t>Numérotation des positions incorrectes, ne reflétant pas leur nombre sur le dessin.</t>
  </si>
  <si>
    <t>Plan de mesurement inséré dans le rapport dimensionel. Insérer uniquement des images ou des extraits</t>
  </si>
  <si>
    <t xml:space="preserve">   explication sur l'orientation et les coordonnées des pièces mesurées.  Les plans de mesurement doivent être attachés.</t>
  </si>
  <si>
    <t xml:space="preserve">   tel que document séparé du rapport dimensionel dans DM.TEC (menu "actions" \ "Add content…"). </t>
  </si>
  <si>
    <t>Mesurement des vues et orientation incorrects ou trompeurs.</t>
  </si>
  <si>
    <t>Mesurement incomplet, positionnements manquants.</t>
  </si>
  <si>
    <t>Formulaire modifié dans une voie interdite.</t>
  </si>
  <si>
    <t>txtProductionDate</t>
  </si>
  <si>
    <t>txtTeToolPmEmail</t>
  </si>
  <si>
    <t>Tool Project Manager - eMail</t>
  </si>
  <si>
    <t>Project Manager nástroje - eMail</t>
  </si>
  <si>
    <t>Tool Projektleiter - eMail</t>
  </si>
  <si>
    <t>Jefe del proyecto del útil - eMail</t>
  </si>
  <si>
    <t>Responsable projet outillage - eMail</t>
  </si>
  <si>
    <t>Resp. del Progetto dell'Attrezzo - eMail</t>
  </si>
  <si>
    <t>Werktuig Project Manager - eMail</t>
  </si>
  <si>
    <t>TE Contacts</t>
  </si>
  <si>
    <t>txtDataTechnical</t>
  </si>
  <si>
    <t>txtDataInspection</t>
  </si>
  <si>
    <t>txtDataTEContact</t>
  </si>
  <si>
    <t>txtDataOV</t>
  </si>
  <si>
    <t>txtDataMaterial</t>
  </si>
  <si>
    <t>txtDataProduction</t>
  </si>
  <si>
    <t>Production Data</t>
  </si>
  <si>
    <t>Material Data</t>
  </si>
  <si>
    <t>txtProductionType</t>
  </si>
  <si>
    <t>txtProductionRate</t>
  </si>
  <si>
    <t>txtMachineType</t>
  </si>
  <si>
    <t>Machine type and size</t>
  </si>
  <si>
    <t>Production rate</t>
  </si>
  <si>
    <t>txtCavitiesPartsQuantity</t>
  </si>
  <si>
    <t xml:space="preserve">*) mandatory  </t>
  </si>
  <si>
    <t xml:space="preserve">*) povinná  </t>
  </si>
  <si>
    <t xml:space="preserve">*) Pflichtfelder  </t>
  </si>
  <si>
    <t xml:space="preserve">*) Campos obligatorios  </t>
  </si>
  <si>
    <t xml:space="preserve">*) Champ obligatoire  </t>
  </si>
  <si>
    <t xml:space="preserve">*) verplichte velden  </t>
  </si>
  <si>
    <t>Production type</t>
  </si>
  <si>
    <t>Quantity of cavities</t>
  </si>
  <si>
    <t>Dodací list #</t>
  </si>
  <si>
    <t>TE název dílu.*</t>
  </si>
  <si>
    <t>TE Teilename*</t>
  </si>
  <si>
    <t>Descripción TE de la pieza*</t>
  </si>
  <si>
    <t>TE Désignation*</t>
  </si>
  <si>
    <t>Nome del Particolare TE*</t>
  </si>
  <si>
    <t>TE product naam*</t>
  </si>
  <si>
    <t>Revision of Dimensional Report*</t>
  </si>
  <si>
    <t>Revize rozměrové zprávy.*</t>
  </si>
  <si>
    <t>Revision der Ausmessung*</t>
  </si>
  <si>
    <t>Revisión del informe dimensional*</t>
  </si>
  <si>
    <t>Révision du rapport dimensionnel*</t>
  </si>
  <si>
    <t>Rev. del Rapporto Dimensionale*</t>
  </si>
  <si>
    <t>Revisie van het meetrapport*</t>
  </si>
  <si>
    <t>txtMandatoryTD</t>
  </si>
  <si>
    <t>Inspector*</t>
  </si>
  <si>
    <t>Kontrolor.*</t>
  </si>
  <si>
    <t>Prüfer*</t>
  </si>
  <si>
    <t>Contrôleur*</t>
  </si>
  <si>
    <t>Metrologo*</t>
  </si>
  <si>
    <t>Meettechnieker*</t>
  </si>
  <si>
    <t>Kontrolní závod.*</t>
  </si>
  <si>
    <t>Messort*</t>
  </si>
  <si>
    <t>Localización de la verificación*</t>
  </si>
  <si>
    <t>Sous-traitant de la métrologie*</t>
  </si>
  <si>
    <t>Luogo di verifica*</t>
  </si>
  <si>
    <t>Meetlocatie*</t>
  </si>
  <si>
    <t>Inspection location*</t>
  </si>
  <si>
    <t xml:space="preserve">Formats proposés supprimés ou écrasés. </t>
  </si>
  <si>
    <t>Cotes des mesurements antérieurs manquantes</t>
  </si>
  <si>
    <t>Nouvelles colonnes insérées pour ajouter nouveaux résultats de mesure ou mesurements précédents.</t>
  </si>
  <si>
    <t>Cotes et tolérances sont transférées incorrectement du plan de mesurement.</t>
  </si>
  <si>
    <t>Vérifier les résultats de mesure pour les valeurs évidemment fausses.</t>
  </si>
  <si>
    <t>Vérifier les résultats de mesure si plusieurs résultats sont identiques à la décimale près, même au 1/100.</t>
  </si>
  <si>
    <t>Rapport dimensionel contenant des liens vers d'autres fichiers</t>
  </si>
  <si>
    <t>txtOVCompany</t>
  </si>
  <si>
    <t>txtInspectorName</t>
  </si>
  <si>
    <t>Net Weight [gr]*</t>
  </si>
  <si>
    <t>Netto Teilegewicht [gr]*</t>
  </si>
  <si>
    <t>txtOVToolNo</t>
  </si>
  <si>
    <t>txtMaterial</t>
  </si>
  <si>
    <t>txtRAL</t>
  </si>
  <si>
    <t>txtCavitiesQuantity</t>
  </si>
  <si>
    <t>txtCavitiesUsed</t>
  </si>
  <si>
    <t>txtDeliveryNoteNo</t>
  </si>
  <si>
    <t>txtOVReportNo</t>
  </si>
  <si>
    <t>txtCustomer</t>
  </si>
  <si>
    <t>Unité de mesure</t>
  </si>
  <si>
    <t>txtTePe</t>
  </si>
  <si>
    <t>txtTePeEmail</t>
  </si>
  <si>
    <t>txtInspectorEmail</t>
  </si>
  <si>
    <t>txtTePeManager</t>
  </si>
  <si>
    <t>txtTeReportNo</t>
  </si>
  <si>
    <t>txtTeToolNo</t>
  </si>
  <si>
    <t>txtTeReportRev</t>
  </si>
  <si>
    <t>txtOrderNo</t>
  </si>
  <si>
    <t>txtLanguage</t>
  </si>
  <si>
    <t>txtTeToolPm</t>
  </si>
  <si>
    <t>txtMeasureLoc</t>
  </si>
  <si>
    <t>txtMeasureDate</t>
  </si>
  <si>
    <t>txtMoldMachine</t>
  </si>
  <si>
    <t>Toeleverancier</t>
  </si>
  <si>
    <t>Toeleverancier werktuig nr</t>
  </si>
  <si>
    <t>Materiaal</t>
  </si>
  <si>
    <t>RAL kleur</t>
  </si>
  <si>
    <t>Leveringsnummer</t>
  </si>
  <si>
    <t>Leverancier Rapport nr #</t>
  </si>
  <si>
    <t>Werktuig Project Manager</t>
  </si>
  <si>
    <t>Opdracht #</t>
  </si>
  <si>
    <t>Sous-traitant de l'outillage</t>
  </si>
  <si>
    <t>N° de l'outillage du sous-traitant</t>
  </si>
  <si>
    <t>Matière du produit</t>
  </si>
  <si>
    <t>Couleur / RAL</t>
  </si>
  <si>
    <t>Borderau de livraison</t>
  </si>
  <si>
    <t>N° de rapport du sous-traitant</t>
  </si>
  <si>
    <t xml:space="preserve">TE Ingénieur process </t>
  </si>
  <si>
    <t>Responsable projet outillage</t>
  </si>
  <si>
    <t>N° de commande</t>
  </si>
  <si>
    <t>nederlands</t>
  </si>
  <si>
    <t>Il registrare i risultati di misura per valori evidentemente errati.</t>
  </si>
  <si>
    <t>Il registrare i risultati di misura se molti di questi sono identici in TUTTE le cifre decimali, perfino i centesimi.</t>
  </si>
  <si>
    <t>Riferimento</t>
  </si>
  <si>
    <t>Impronte</t>
  </si>
  <si>
    <t>Rapporto TE n.</t>
  </si>
  <si>
    <t>Documentazione addizionale</t>
  </si>
  <si>
    <t>I formati condizionali sono stati cancellati o sovrascritti.</t>
  </si>
  <si>
    <t>Posizione n.</t>
  </si>
  <si>
    <t>Genera le Posizioni di Misura</t>
  </si>
  <si>
    <t>italiano</t>
  </si>
  <si>
    <t>Il processo è stato annullato dall'utente</t>
  </si>
  <si>
    <t>Esiste già un foglio con il nome "%s"!</t>
  </si>
  <si>
    <t>Questa funzione è disponibile solo se il foglio non è protetto</t>
  </si>
  <si>
    <t>Vuoi davvero eliminare le righe dell'intervallo da %s a %s?</t>
  </si>
  <si>
    <t>Non è permesso aggiungere/eliminare le righe dell'intervallo da 1 a %s.</t>
  </si>
  <si>
    <t>Crea</t>
  </si>
  <si>
    <t>Questo file si può utilizzare soltanto in un'applicazione Excel.  Apri una nuova applicazione Excel e carica il file in questa sessione.</t>
  </si>
  <si>
    <t>Nota: il foglio è stato creato mo non esiste la posizione specificata #.  Prego aggiungi manualmente il riferimento al foglio DimensionalReport.</t>
  </si>
  <si>
    <t>Imposta la password per bloccare i valori misurati</t>
  </si>
  <si>
    <t>Sblocca con la password i valori misurati</t>
  </si>
  <si>
    <t>Quantità</t>
  </si>
  <si>
    <t>Nel foglio DimensionalReport</t>
  </si>
  <si>
    <t>Seleziona la Lingua</t>
  </si>
  <si>
    <t>Righe</t>
  </si>
  <si>
    <t>Passo</t>
  </si>
  <si>
    <t>Alla posizione</t>
  </si>
  <si>
    <t>Crea il foglio della tolleranza di posizione (diametrale)</t>
  </si>
  <si>
    <t>Genera le Impronte</t>
  </si>
  <si>
    <t>Rapporto dimensionale</t>
  </si>
  <si>
    <t>Codice prodotto TE*</t>
  </si>
  <si>
    <t>Codice fornitore TE*</t>
  </si>
  <si>
    <t>Revisione codice prodotto TE*</t>
  </si>
  <si>
    <t>Numero di disegno TE*</t>
  </si>
  <si>
    <t>Revisione disegno TE*</t>
  </si>
  <si>
    <t>Motivo del rapporto dimensionale*</t>
  </si>
  <si>
    <t>Prima campionatura</t>
  </si>
  <si>
    <t>Ciclo di correzione</t>
  </si>
  <si>
    <t>Trasferimento attrezzatura</t>
  </si>
  <si>
    <t>Revisione generale</t>
  </si>
  <si>
    <t>Campionamento alternativo</t>
  </si>
  <si>
    <t>Versione speciale</t>
  </si>
  <si>
    <t>Procédure de mesure</t>
  </si>
  <si>
    <t>TE N° de reférence / rev.</t>
  </si>
  <si>
    <t>Première Echantillon</t>
  </si>
  <si>
    <t xml:space="preserve">Boucle de correction </t>
  </si>
  <si>
    <t>transfert moule</t>
  </si>
  <si>
    <t>révision générale</t>
  </si>
  <si>
    <t>Echantillonnage matière alternative</t>
  </si>
  <si>
    <t>approbation spéciale</t>
  </si>
  <si>
    <t>TE Leveranciers ID*</t>
  </si>
  <si>
    <t>TE Tekeningnr.*</t>
  </si>
  <si>
    <t>TE Tekening uitgave*</t>
  </si>
  <si>
    <t>Reden van meting*</t>
  </si>
  <si>
    <t>Eerste monsters </t>
  </si>
  <si>
    <t>Correctieloop</t>
  </si>
  <si>
    <t>Werktuig transfer</t>
  </si>
  <si>
    <t>Algemene </t>
  </si>
  <si>
    <t>Varia monsters</t>
  </si>
  <si>
    <t>Speciale vrijgave</t>
  </si>
  <si>
    <t>Meetbericht </t>
  </si>
  <si>
    <t>Acceptaion du rapport de mesure*</t>
  </si>
  <si>
    <t>TE N° de reférence*</t>
  </si>
  <si>
    <t>TE Sous-traitant*</t>
  </si>
  <si>
    <t>TE Drawing Number*</t>
  </si>
  <si>
    <t>TE Zeichnungs-Revision*</t>
  </si>
  <si>
    <t>Dimensional Report reason*</t>
  </si>
  <si>
    <t>První vzorování</t>
  </si>
  <si>
    <t>Nápravné akce</t>
  </si>
  <si>
    <t>Celková oprava</t>
  </si>
  <si>
    <t>Jiné vzorování</t>
  </si>
  <si>
    <t>Měřící protokol</t>
  </si>
  <si>
    <t>TE Číslo dílu*</t>
  </si>
  <si>
    <t>TE Číslo dodavatele*</t>
  </si>
  <si>
    <t>TE Číslo revize dílů*</t>
  </si>
  <si>
    <t>TE Číslo výkresu*</t>
  </si>
  <si>
    <t>TE Revize výkresů*</t>
  </si>
  <si>
    <t>Důvod měření*</t>
  </si>
  <si>
    <t>Transfer nástrojů</t>
  </si>
  <si>
    <t>Speciální uvolnění</t>
  </si>
  <si>
    <t>Primeras muestras</t>
  </si>
  <si>
    <t>Corrección</t>
  </si>
  <si>
    <t>Transferencia de herramienta</t>
  </si>
  <si>
    <t>Examen general</t>
  </si>
  <si>
    <t>Muestras alternas</t>
  </si>
  <si>
    <t>Autorización especial</t>
  </si>
  <si>
    <t>TE número de artículo*</t>
  </si>
  <si>
    <t>TE Número de identificación de proveedor*</t>
  </si>
  <si>
    <t>TE número de plano/dibujo*</t>
  </si>
  <si>
    <t>Razón para el protocol de dimensiones*</t>
  </si>
  <si>
    <t>TE revisión de artículo*</t>
  </si>
  <si>
    <t>TE revisión de plano/dibujo*</t>
  </si>
  <si>
    <t>Genera le posizioni di misura aggiuntive</t>
  </si>
  <si>
    <t>Crea il foglio della tolleranza di posizione (rettangolare)</t>
  </si>
  <si>
    <t>Proteggi i valori misurati</t>
  </si>
  <si>
    <t>maximum: 84</t>
  </si>
  <si>
    <t>maximum: 124</t>
  </si>
  <si>
    <t>Maximum: 84</t>
  </si>
  <si>
    <t>Maximum: 124</t>
  </si>
  <si>
    <t>Coinvolgi tutti i fogli dei dati inclusi</t>
  </si>
  <si>
    <t>Temporaneamente disabilitati</t>
  </si>
  <si>
    <t>con Nome</t>
  </si>
  <si>
    <t>per</t>
  </si>
  <si>
    <t>con</t>
  </si>
  <si>
    <t>Posizioni</t>
  </si>
  <si>
    <t>Elimina le Colonne selezionate</t>
  </si>
  <si>
    <t>Elimina le Righe selezionate</t>
  </si>
  <si>
    <t>Mostra o Nascondi Taghuchi</t>
  </si>
  <si>
    <t>Annulla</t>
  </si>
  <si>
    <t>Nome</t>
  </si>
  <si>
    <t>Funzione non attualmente in uso</t>
  </si>
  <si>
    <t>Descrizione</t>
  </si>
  <si>
    <t>Valore Nominale</t>
  </si>
  <si>
    <t>Data della Misurazione</t>
  </si>
  <si>
    <t>Revisione del Rapporto Dimensionale</t>
  </si>
  <si>
    <t>Approvazione del PE</t>
  </si>
  <si>
    <t>Scosta-mento</t>
  </si>
  <si>
    <t xml:space="preserve">Dim. Reale </t>
  </si>
  <si>
    <t>Osservazioni:</t>
  </si>
  <si>
    <t>Italiano</t>
  </si>
  <si>
    <t>Approvazione del rapporto -           da compilare a cura del solo Product Engineer!</t>
  </si>
  <si>
    <t>Fornitore</t>
  </si>
  <si>
    <t>Unità di misura</t>
  </si>
  <si>
    <t>Note del Misuratore</t>
  </si>
  <si>
    <t>Note del PE</t>
  </si>
  <si>
    <t>Materiale</t>
  </si>
  <si>
    <t>Colore RAL</t>
  </si>
  <si>
    <t>Füllen Sie die Vorlage (Blatt "PSW template") aus.</t>
  </si>
  <si>
    <t>Drucken Sie das Formular.</t>
  </si>
  <si>
    <t>Sélectionnez la quantité de cavités de liste déroulante</t>
  </si>
  <si>
    <t>ou d'entrer manuellement</t>
  </si>
  <si>
    <t>maxi d'empreintes / colonnes: 170</t>
  </si>
  <si>
    <t>Attribuer n'importe quel mot de passe.4 caractères minimum</t>
  </si>
  <si>
    <t>Protéger le résultat de mesure</t>
  </si>
  <si>
    <t>Mot de passe :</t>
  </si>
  <si>
    <t>Mot de passe réessayer</t>
  </si>
  <si>
    <t>Déprotéger</t>
  </si>
  <si>
    <t>Mot de passe</t>
  </si>
  <si>
    <t>Erreur 1004 est survenu. Peut-être la quantité maximale des colonnes est atteint. Enregistrer et fermer le fichier et l'ouvrir à nouveau ou supprimer des colonnes vides manuellement.</t>
  </si>
  <si>
    <t>Incrément</t>
  </si>
  <si>
    <t>Démarrer</t>
  </si>
  <si>
    <t xml:space="preserve">Vyberte počet hnízd z rozbalovacího seznamu </t>
  </si>
  <si>
    <t>nebo zadejte manuálně</t>
  </si>
  <si>
    <t>maximální počet hnízd/sloupců: 170</t>
  </si>
  <si>
    <t>Langage sélectionné:</t>
  </si>
  <si>
    <t>Données pièce</t>
  </si>
  <si>
    <t>Métrologie</t>
  </si>
  <si>
    <t>Contacts TE</t>
  </si>
  <si>
    <t>Référence du fournisseur</t>
  </si>
  <si>
    <t>Données matière</t>
  </si>
  <si>
    <t>Données fabrication</t>
  </si>
  <si>
    <t>Poids net [gr]*</t>
  </si>
  <si>
    <t>Type de moyen et taille</t>
  </si>
  <si>
    <t>Type de production</t>
  </si>
  <si>
    <t xml:space="preserve">Cadence de production </t>
  </si>
  <si>
    <t>&lt;sélectionner&gt;</t>
  </si>
  <si>
    <t>ID</t>
  </si>
  <si>
    <t>Údaje o dílech</t>
  </si>
  <si>
    <t>Měřící údaje</t>
  </si>
  <si>
    <t>TE Kontakty</t>
  </si>
  <si>
    <t>Údaje o materiálu</t>
  </si>
  <si>
    <t>Údaje o produkci</t>
  </si>
  <si>
    <t>Váha dílů netto [gr]*</t>
  </si>
  <si>
    <t>Typ stroje a velikost</t>
  </si>
  <si>
    <t>Typ produkce</t>
  </si>
  <si>
    <t>Cena produkce</t>
  </si>
  <si>
    <t>Seleziona la lingua:</t>
  </si>
  <si>
    <t>Dati del particolare</t>
  </si>
  <si>
    <t>Dati della verifica dimensionale</t>
  </si>
  <si>
    <t>Riferimenti TE</t>
  </si>
  <si>
    <t>Riferimenti del fornitore</t>
  </si>
  <si>
    <t>Dati sul materiale</t>
  </si>
  <si>
    <t>Dati di produzione</t>
  </si>
  <si>
    <t>Peso netto [g]*</t>
  </si>
  <si>
    <t>Tipo e dimensioni della macchina</t>
  </si>
  <si>
    <t>Tipo di produzione</t>
  </si>
  <si>
    <t>Cadenza produttiva</t>
  </si>
  <si>
    <t>&lt;Seleziona&gt;</t>
  </si>
  <si>
    <t xml:space="preserve">**)  Obbligatorio. Fornitori: T&amp;D / Interno: Sala metrologica  </t>
  </si>
  <si>
    <t>Idioma seleccionado:</t>
  </si>
  <si>
    <t>Datos del Producto</t>
  </si>
  <si>
    <t>Datos de Inspección</t>
  </si>
  <si>
    <t>Contactos TE</t>
  </si>
  <si>
    <t>Referencia Proveedor</t>
  </si>
  <si>
    <t>Datos del Material</t>
  </si>
  <si>
    <t>Datos de Producción</t>
  </si>
  <si>
    <t>Peso Neto [gr]*</t>
  </si>
  <si>
    <t>Tipo de máquina y tamaño</t>
  </si>
  <si>
    <t>Tipo de Producción</t>
  </si>
  <si>
    <t>Rate de Producción</t>
  </si>
  <si>
    <t>&lt;seleccionar&gt;</t>
  </si>
  <si>
    <t xml:space="preserve">**)  mandatory. supplier measuring: T&amp;D / internal: measurement room   </t>
  </si>
  <si>
    <t>**)  Pflichtfeld. Messung bei Lieferanten: T&amp;D / Intern: Messraum</t>
  </si>
  <si>
    <t xml:space="preserve">**)  obligatorio. Proveedor: T&amp;D / interno: metrología   </t>
  </si>
  <si>
    <t xml:space="preserve">**)  obligatoire. fournisseur: T&amp;D / interne: labo. de métrologie  </t>
  </si>
  <si>
    <t>Supplier Reference</t>
  </si>
  <si>
    <t>Lieferanten Referenzen</t>
  </si>
  <si>
    <t>Lieferanten Report Nummer</t>
  </si>
  <si>
    <t>Lieferant</t>
  </si>
  <si>
    <t>Prosím zadejte heslo. Minimální délka je 4 znaky.</t>
  </si>
  <si>
    <t>Zamknout výsledky měření.</t>
  </si>
  <si>
    <t>Heslo</t>
  </si>
  <si>
    <t>Heslo znova:</t>
  </si>
  <si>
    <t xml:space="preserve">Odemknout </t>
  </si>
  <si>
    <t>Heslo:</t>
  </si>
  <si>
    <t>Výskyt chyby 1004. Zřejmě byl překročen maximální počet sloupců. Uložte a zavřete tento soubor a otevřete znovu nebo smažte sloupce manuálně.</t>
  </si>
  <si>
    <t>Documento di Trasporto n.</t>
  </si>
  <si>
    <t>Ordine n.</t>
  </si>
  <si>
    <t>Tolleranza Superiore</t>
  </si>
  <si>
    <t>Tolleranza Inferiore</t>
  </si>
  <si>
    <t>Resp. del Progetto dell'Attrezzo</t>
  </si>
  <si>
    <t>Rapp. Dim. del Fornitore n.</t>
  </si>
  <si>
    <t>Codice Attrezzo Fornitore</t>
  </si>
  <si>
    <t>Resp. Ing. di Prodotto TE</t>
  </si>
  <si>
    <t>Tipo</t>
  </si>
  <si>
    <t>Note</t>
  </si>
  <si>
    <t>Inserisci delle immagini digitali e del testo esplicativo riguardante il rilievo</t>
  </si>
  <si>
    <t>Numero</t>
  </si>
  <si>
    <t>Crea il foglio di Evaluation Report</t>
  </si>
  <si>
    <t>Crea il foglio di Studio di Capacità Macchina</t>
  </si>
  <si>
    <t>Crea il foglio di Tolleranza di Posizione</t>
  </si>
  <si>
    <t>Il file Excel ha un nome errato.</t>
  </si>
  <si>
    <t>I dati di origine in Doc Manager hanno un nome errato.</t>
  </si>
  <si>
    <t>I dati di intestazione sono incompleti o errati.</t>
  </si>
  <si>
    <t>La numerazione delle posizioni è errata o non rispecchia la numerazione sul disegno.</t>
  </si>
  <si>
    <t>Il disegno è inserito all'interno del rapporto di misura.  Inserire soltanto delle immagini o degli estratti.</t>
  </si>
  <si>
    <t xml:space="preserve"> Nel fornire il rapporto dimensionale si prega di evitare i seguenti errori tipici:</t>
  </si>
  <si>
    <t>Il creare in Doc Manager un Nuovo Oggetto per il rapporto dimensionale anziché inserire una revisione del rapporto esistente.</t>
  </si>
  <si>
    <t>Per l'ultima versione di questi documenti verifica in DM TEC o DocManager!</t>
  </si>
  <si>
    <t>L'errato o ingannevole orientamento e misurazione delle forme.</t>
  </si>
  <si>
    <t>I rilievi incompleti, le posizioni mancanti.</t>
  </si>
  <si>
    <t>Il modulo è stato modificato in un modo vietato.</t>
  </si>
  <si>
    <t>Fornitore: prego contattare il Responsabile per lo Sviluppo dell'Attrezzo TE per ottenere l'ultima versione della documentazione per il fornitore.</t>
  </si>
  <si>
    <t>Sono state inserite nuove colonne per aggiungere nuovi risultati di misura su misurazioni precedenti.</t>
  </si>
  <si>
    <t>Sono state omesse quote di precedenti misurazioni.</t>
  </si>
  <si>
    <t>Le quote e le tolleranze sono state trasferite erroneamente dal disegno.</t>
  </si>
  <si>
    <t>Il Rapporto dimensionale contiene collegamenti con altri file.</t>
  </si>
  <si>
    <t xml:space="preserve">   Esplicitare l'orientamento nello spazio e le coordinate del pezzo misurato. Dovrebbe essere allegato il disegno</t>
  </si>
  <si>
    <t xml:space="preserve">   come un documento separato rispetto al rapporto dimensionale all'interno di DM TEC  (Menù "Actions" \ "Add Content…").</t>
  </si>
  <si>
    <t>Valeur actuelle</t>
  </si>
  <si>
    <t>Déro-gation</t>
  </si>
  <si>
    <t>français</t>
  </si>
  <si>
    <t>Français</t>
  </si>
  <si>
    <t>Nederlands</t>
  </si>
  <si>
    <t>Position:</t>
  </si>
  <si>
    <t>UserPwd</t>
  </si>
  <si>
    <t>msgCreateGt2000</t>
  </si>
  <si>
    <t>msgExcelLt2000</t>
  </si>
  <si>
    <t>FileVersion</t>
  </si>
  <si>
    <t>msgRealyWithPass</t>
  </si>
  <si>
    <t>Part Submission Warrant</t>
  </si>
  <si>
    <t>8064/2006</t>
  </si>
  <si>
    <t>Part Name</t>
  </si>
  <si>
    <t xml:space="preserve"> </t>
  </si>
  <si>
    <t xml:space="preserve">  Cust. Part Number</t>
  </si>
  <si>
    <t>Shown on Drawing Number</t>
  </si>
  <si>
    <t xml:space="preserve">  Org.Part Number</t>
  </si>
  <si>
    <t>Engineering Change Level</t>
  </si>
  <si>
    <t>Dated</t>
  </si>
  <si>
    <t>Additional Engineering Changes</t>
  </si>
  <si>
    <t>Safety and/or Government Regulation</t>
  </si>
  <si>
    <t>Purchase Order No.</t>
  </si>
  <si>
    <t>Weight (kg)</t>
  </si>
  <si>
    <t>Checking Aid Number</t>
  </si>
  <si>
    <t>Checking Aid Engineering Change Level</t>
  </si>
  <si>
    <t>ORGANIZATION MANUFACTURING INFORMATION</t>
  </si>
  <si>
    <t>CUSTOMER SUBMITTAL INFORMATION</t>
  </si>
  <si>
    <t>/</t>
  </si>
  <si>
    <t>Organization Name and Supplier Code</t>
  </si>
  <si>
    <t>Customer Name/Division</t>
  </si>
  <si>
    <t>Street Address</t>
  </si>
  <si>
    <t>Buyer/Buyer Code</t>
  </si>
  <si>
    <t>City</t>
  </si>
  <si>
    <t>Region</t>
  </si>
  <si>
    <t>Postal Code</t>
  </si>
  <si>
    <t>Country</t>
  </si>
  <si>
    <t>Application</t>
  </si>
  <si>
    <t>MATERIALS REPORTING</t>
  </si>
  <si>
    <t>Has customer-required Substance of Concern information been reported</t>
  </si>
  <si>
    <t>Yes</t>
  </si>
  <si>
    <t>No</t>
  </si>
  <si>
    <t>n/a</t>
  </si>
  <si>
    <t>Submitted by IMDS or other customer format</t>
  </si>
  <si>
    <t>Are polymeric parts identified with appropriate ISO marking codes?</t>
  </si>
  <si>
    <t>REASON FOR SUBMISSION (Check at least one)</t>
  </si>
  <si>
    <t>Initial submission</t>
  </si>
  <si>
    <t>Change to Optional Construction or Material</t>
  </si>
  <si>
    <t>Engineering Change(s)</t>
  </si>
  <si>
    <t>Sub-Supplier or Material Source Change</t>
  </si>
  <si>
    <t>Tooling: Transfer, Replacement, Refurbishment, or additional</t>
  </si>
  <si>
    <t>Change in Part Processing</t>
  </si>
  <si>
    <t>Correction of Discrepancy</t>
  </si>
  <si>
    <t>Parts Produced at Additional Location</t>
  </si>
  <si>
    <t>Tooling Inactive &gt; than 1 year</t>
  </si>
  <si>
    <t xml:space="preserve">Other - please specify </t>
  </si>
  <si>
    <t>REQUESTED SUBMISSION LEVEL (Check one)</t>
  </si>
  <si>
    <t>Level 1 - Warrant only (and for designated appearance items, an Appearance Approval Report) submitted to customer.</t>
  </si>
  <si>
    <t>Cumplimentación del PSW:</t>
  </si>
  <si>
    <t>Nota: el PSW se requiera para proveedores únicamente.</t>
  </si>
  <si>
    <t>Rellene el formato PSW (hoja "PSW template")</t>
  </si>
  <si>
    <t>Imprima el formato.</t>
  </si>
  <si>
    <t>Firme una copia impresa!</t>
  </si>
  <si>
    <t>Escanee la copia impresa en formato *.jpg, no en *.bmp!</t>
  </si>
  <si>
    <t>Copie y pegue la la copia escaneada en la hoja "PSW".</t>
  </si>
  <si>
    <t>Level 2 - Warrant with product samples and limited supporting data submitted to customer.</t>
  </si>
  <si>
    <t>Level 3 - Warrant with product samples and complete supporting data submitted to customer.</t>
  </si>
  <si>
    <t>Level 4 - Warrant and other requirements as defined by customer.</t>
  </si>
  <si>
    <t>Level 5 - Warrant with product samples and complete supporting data reviewed at supplier's manufacturing location.</t>
  </si>
  <si>
    <t>SUBMISSION RESULTS</t>
  </si>
  <si>
    <t xml:space="preserve">The results for        </t>
  </si>
  <si>
    <t>dimensional measurement</t>
  </si>
  <si>
    <t xml:space="preserve"> material and functional tests </t>
  </si>
  <si>
    <t xml:space="preserve">     appearance criteria </t>
  </si>
  <si>
    <t xml:space="preserve">      statistical process package</t>
  </si>
  <si>
    <t>These results meet all design record requirements:</t>
  </si>
  <si>
    <t>No      (If "No" - Explanation Required)</t>
  </si>
  <si>
    <t>Mold No. / Cavity / Production Process / Tool No. / Machine  :</t>
  </si>
  <si>
    <t xml:space="preserve">DECLARATION </t>
  </si>
  <si>
    <t>I affirm that the samples represented by this warrant are representative of our parts, which were made by a process that meets all Production Part</t>
  </si>
  <si>
    <t xml:space="preserve">I also certify that documented evidence of such compliance is on file and is available for review.  I have noted any deviations from this declaration </t>
  </si>
  <si>
    <t>below.</t>
  </si>
  <si>
    <t>EXPLANATION/COMMENTS</t>
  </si>
  <si>
    <t>Is each Customer Tool properly tagged and numbered?</t>
  </si>
  <si>
    <t>Organization Authorized Signature</t>
  </si>
  <si>
    <t>Date</t>
  </si>
  <si>
    <t>Print Name</t>
  </si>
  <si>
    <t>Phone No.</t>
  </si>
  <si>
    <t>Fax</t>
  </si>
  <si>
    <t>Title</t>
  </si>
  <si>
    <t>Email</t>
  </si>
  <si>
    <t>FOR CUSTOMER USE ONLY (IF APPLICABLE)</t>
  </si>
  <si>
    <t>PPAP Warrant Disposition :</t>
  </si>
  <si>
    <t>Approved</t>
  </si>
  <si>
    <t>Other</t>
  </si>
  <si>
    <t>Customer Signature</t>
  </si>
  <si>
    <t>Customer Tracking Number (optional)</t>
  </si>
  <si>
    <t>TE Part Number*</t>
  </si>
  <si>
    <t>TE Teilenummer*</t>
  </si>
  <si>
    <t>TE Part Nr. Revision*</t>
  </si>
  <si>
    <t>TE Teile-Revision*</t>
  </si>
  <si>
    <t>TE Drawing Revision*</t>
  </si>
  <si>
    <t>TE Zeichnungsnr.*</t>
  </si>
  <si>
    <t>Ausmessungsgrund*</t>
  </si>
  <si>
    <t>TE Lieferanten-ID*</t>
  </si>
  <si>
    <t xml:space="preserve">TE révision de plan* </t>
  </si>
  <si>
    <t>TE n° de plan*</t>
  </si>
  <si>
    <t>Date of issue*</t>
  </si>
  <si>
    <t>Datum vyhotovení.*</t>
  </si>
  <si>
    <t>Erstellt am*</t>
  </si>
  <si>
    <t>Fecha de edición*</t>
  </si>
  <si>
    <t>Date du rapport*</t>
  </si>
  <si>
    <t>Data di emissione*</t>
  </si>
  <si>
    <t>Gemeten op*</t>
  </si>
  <si>
    <t>TE nástroj Nr.*</t>
  </si>
  <si>
    <t>TE Werkzeugnr.*</t>
  </si>
  <si>
    <t>Número Útil TE*</t>
  </si>
  <si>
    <t>TE N° Outillage*</t>
  </si>
  <si>
    <t>Codice Attrezzo Tyco*</t>
  </si>
  <si>
    <t>TE Werktuig Nr.*</t>
  </si>
  <si>
    <t>ComboBoxDimRepReason</t>
  </si>
  <si>
    <r>
      <t>Approval Process Manual 4th Edition Requirements. I further affirm that these samples were produced at the production rate of</t>
    </r>
    <r>
      <rPr>
        <b/>
        <sz val="8"/>
        <rFont val="Arial"/>
        <family val="2"/>
      </rPr>
      <t xml:space="preserve">    /   hours</t>
    </r>
  </si>
  <si>
    <t>File only can be opened with MS Excel 2000 or higher. For full functionality Excel 2002/XP is required at least.</t>
  </si>
  <si>
    <t>TE Kontakte</t>
  </si>
  <si>
    <t>Materialdaten</t>
  </si>
  <si>
    <t>Produktionsdaten</t>
  </si>
  <si>
    <t>&lt;auswählen&gt;</t>
  </si>
  <si>
    <t>Part Data</t>
  </si>
  <si>
    <t>Teiledaten</t>
  </si>
  <si>
    <t>Ausmessungsdaten</t>
  </si>
  <si>
    <t>Inspection Data</t>
  </si>
  <si>
    <t>Datei kann nur mit MS Excel ab Version 2000 geöffnet werden. Für volle Funktionalität ist mindestens Excel 2002/XP erforderlich.</t>
  </si>
  <si>
    <t>The file only can be opened with Excel 2002 or higher.</t>
  </si>
  <si>
    <t>Die Datei kann nur mit Excel 2002 oder höher geöffnet werden.</t>
  </si>
  <si>
    <t>txtSort</t>
  </si>
  <si>
    <t>Sort</t>
  </si>
  <si>
    <t>Sortieren</t>
  </si>
  <si>
    <t>Dit bestand kan enkel éénmaal in één Excel applicatie lopen! Start een nieuwe Excel applicatie en laad dit bestand opnieuw.</t>
  </si>
  <si>
    <t>espaniol</t>
  </si>
  <si>
    <t>El proceso fue cancelado por el usuario.</t>
  </si>
  <si>
    <t>Una hoja con nombre "%s" ya existe!</t>
  </si>
  <si>
    <t>Esta funció es sólo disponible si la hoja no está protegida.</t>
  </si>
  <si>
    <t>No está permitido añadir/borrar líneas entre la fila 1 y %s.</t>
  </si>
  <si>
    <t>Usted espera realmente borrar las filas %s a %s?</t>
  </si>
  <si>
    <t>NotA: la hoja está creada pero la posición especificada# no existe. Por favor añadir la referencia a la hoja Dimensional/Report, manualmente.</t>
  </si>
  <si>
    <t>El archivo sólo puede funcionar unicamente en una aplicación Excel.  Comience una nueva aplicación Excel y cargue el archivo en esta sesión.</t>
  </si>
  <si>
    <t>Este archivo sólo puede abrirse con Excel 2002 o mayor.</t>
  </si>
  <si>
    <t>El archivo sólo puede abrirse con MS Excel 2002 o mayor. Para una funcionalidad completa Excel 2002/XP es requerido por lo menos.</t>
  </si>
  <si>
    <t>Atención! Este archivo fue editado con Excel 2000 en una sesión previa. Si usted asigna una contraseña, este archivo no podrá abrirse con Excel 2000 ya . Está usted seguro que este archivo nunca será editado con Excel 2000 otra vez? Por ejemplo por un Proveedor?</t>
  </si>
  <si>
    <t>Crear</t>
  </si>
  <si>
    <t>Crear una hoja de tolerancia de posición.</t>
  </si>
  <si>
    <t>Establezca contraseña para bloquear los valores medidos</t>
  </si>
  <si>
    <t>Desbloquear valores medidos con contraseña</t>
  </si>
  <si>
    <t>Crear hoja MCS</t>
  </si>
  <si>
    <t>Crear Informe de Evaluación</t>
  </si>
  <si>
    <t>Establecer Lenguaje</t>
  </si>
  <si>
    <t>Crear cavidades</t>
  </si>
  <si>
    <t>Cantidad</t>
  </si>
  <si>
    <t>En hoja Dimensional/Report</t>
  </si>
  <si>
    <t>Crear medición de posiciones</t>
  </si>
  <si>
    <t>Líneas</t>
  </si>
  <si>
    <t>Paso</t>
  </si>
  <si>
    <t>Crear añadir medición de posiciones</t>
  </si>
  <si>
    <t>A posición</t>
  </si>
  <si>
    <t>Crear hoja tolerancia de posición (diámetro)</t>
  </si>
  <si>
    <t>Crear hoja tolerancia de posición (rectangular)</t>
  </si>
  <si>
    <t>Congelar valores de medida</t>
  </si>
  <si>
    <t>Behandeling van een PSW:</t>
  </si>
  <si>
    <t>Vul het PSW formulier (blad "PSW template") in.</t>
  </si>
  <si>
    <t>Druk het formulier af.</t>
  </si>
  <si>
    <t>! Onderteken de afdruk !</t>
  </si>
  <si>
    <t>Scan de ondertekende afdruk. Geef de voorkeur aan *.jpg. Gebuik geen *.bmp!</t>
  </si>
  <si>
    <t>Voeg de scan in het blad "PSW" in.</t>
  </si>
  <si>
    <t>Voorbeeld van een ingevulde PSW:</t>
  </si>
  <si>
    <t>Afecta todas las hojas de datos incluidas</t>
  </si>
  <si>
    <t>Temporalmente desabilitado</t>
  </si>
  <si>
    <t>Referencia</t>
  </si>
  <si>
    <t>con Nombre</t>
  </si>
  <si>
    <t>para</t>
  </si>
  <si>
    <t>Cavidades</t>
  </si>
  <si>
    <t>Posiciones</t>
  </si>
  <si>
    <t>Función actualmente no en uso</t>
  </si>
  <si>
    <t>Borrar columnas seleccionas</t>
  </si>
  <si>
    <t>Borrar filas seleccionadas</t>
  </si>
  <si>
    <t>Clase</t>
  </si>
  <si>
    <t>Mostrar u ocultar Taguchi</t>
  </si>
  <si>
    <t>Cancelar</t>
  </si>
  <si>
    <t>Nombre</t>
  </si>
  <si>
    <t>Posición número</t>
  </si>
  <si>
    <t>Descripción</t>
  </si>
  <si>
    <t>Unidad</t>
  </si>
  <si>
    <t>Observaciones Metrología</t>
  </si>
  <si>
    <t>Observaciones Ing. De Producto</t>
  </si>
  <si>
    <t>Fecha de medición</t>
  </si>
  <si>
    <t>Aprobación Ing. De Producto</t>
  </si>
  <si>
    <t>Dimensión actual</t>
  </si>
  <si>
    <t>Desviación</t>
  </si>
  <si>
    <t>Gestione del  PSW:</t>
  </si>
  <si>
    <t xml:space="preserve">TE Informe </t>
  </si>
  <si>
    <t>Revisión del informe dimensional</t>
  </si>
  <si>
    <t>Comentario:</t>
  </si>
  <si>
    <t>Acceptación del informe -  - a rellenar únicamente por Ingeniería de Producto.</t>
  </si>
  <si>
    <t>Castellano</t>
  </si>
  <si>
    <t>Proveedor</t>
  </si>
  <si>
    <t>txtDimRepReason</t>
  </si>
  <si>
    <t>first sampling</t>
  </si>
  <si>
    <t>Erstbemusterung</t>
  </si>
  <si>
    <t>correction loop</t>
  </si>
  <si>
    <t>Korrekturschleife</t>
  </si>
  <si>
    <t>Verlagerung</t>
  </si>
  <si>
    <t>general overhaul</t>
  </si>
  <si>
    <t>Generalueberholung</t>
  </si>
  <si>
    <t>alternate sampling</t>
  </si>
  <si>
    <t>sonstige Bemusterung</t>
  </si>
  <si>
    <t>special release</t>
  </si>
  <si>
    <t>Sonderfreigabe</t>
  </si>
  <si>
    <t>txtCBReason1</t>
  </si>
  <si>
    <t>txtCBReason2</t>
  </si>
  <si>
    <t>txtCBReason3</t>
  </si>
  <si>
    <t>txtCBReason4</t>
  </si>
  <si>
    <t>txtCBReason5</t>
  </si>
  <si>
    <t>txtCBReason0</t>
  </si>
  <si>
    <t>Número Útil Proveedor</t>
  </si>
  <si>
    <t>RAL del color</t>
  </si>
  <si>
    <t>Nota de entrega</t>
  </si>
  <si>
    <t>Número informe del proveedor</t>
  </si>
  <si>
    <t>TE departamento Manuf. Ing. De Producto</t>
  </si>
  <si>
    <t>Jefe del proyecto del útil</t>
  </si>
  <si>
    <t>Número de pedido</t>
  </si>
  <si>
    <t>Insertar fotos digitales y texto explicativa referente a las medidas aquí.</t>
  </si>
  <si>
    <t>Información adicional</t>
  </si>
  <si>
    <t>Número</t>
  </si>
  <si>
    <t>Observación</t>
  </si>
  <si>
    <t>Para versiones posteriores de estos documentos comprobar en DmTec o DocManager!</t>
  </si>
  <si>
    <t>Proveedores: por favor contacte con el Jefe de Proyecto del útil para obtener la última versión de la documentación para proveedor.</t>
  </si>
  <si>
    <t>Por favor evite estos errores típicos con la entrega del informe dimensional:</t>
  </si>
  <si>
    <t>Los datos Master en DocManager tienen un nombre incorrecto.</t>
  </si>
  <si>
    <t>Nuevo objeto creado en DocManager para el Informe Dimensional en lugar de revisar el existente.</t>
  </si>
  <si>
    <t>El archivo Excel tiene un nombre incorrecto.</t>
  </si>
  <si>
    <t>Datos de cabezera incorrecto/incompleto.</t>
  </si>
  <si>
    <t>Número de posiciones no correcto/ no refleja los número del dibujo.</t>
  </si>
  <si>
    <t>El plano medido es introducido en el informe dimensional. Sólo introducir imágenes o un extracto:</t>
  </si>
  <si>
    <t>Medida de los perfiles y orientación incorrecta o confundible.</t>
  </si>
  <si>
    <t>Medición incompleta, posiciones desaparecidas.</t>
  </si>
  <si>
    <t>Impreso es modificado en vía prohibida.</t>
  </si>
  <si>
    <t>Los formatos condicionales son borrados o sobreescribvidos en el impreso.</t>
  </si>
  <si>
    <t>Dimensiones de la medición previa son desaparecidas.</t>
  </si>
  <si>
    <t>Nuevas columnas nuevas son introducidas para agregar nuevos resultado de medidas a las medidas precedentes.</t>
  </si>
  <si>
    <t>Dimensiones y tolerancias han sido transferidas incorrectamente desde el plano de medición.</t>
  </si>
  <si>
    <t>Verifique los resultados de las medidas para obvios valores incorrectos.</t>
  </si>
  <si>
    <t>Compruebe los resultados de las medidas si varios resultados son idénticos en TODOS los decimales, uniformes en 1/100.</t>
  </si>
  <si>
    <t>El Informe Dimensional contiene enlaces hacia otros archivos.</t>
  </si>
  <si>
    <t xml:space="preserve">   Explicación de las orientación y las coordenadas de la pieza medida. Los planos de medición deben ser adjuntados.</t>
  </si>
  <si>
    <t xml:space="preserve">   como documento separado hacia el informe dimensional entre el DM.TEC (menú "acciones"\"añadir contenido…").</t>
  </si>
  <si>
    <t>Dit bestand kan enkel met Excel 2002 of hoger geopend worden.</t>
  </si>
  <si>
    <t>Dit bestand kan enkel met MS Excel 2000 of hoger geopend worden. Voor volledige functionaliteit is Excel 2002 of XP nodig.</t>
  </si>
  <si>
    <t>Opgelet! Dit bestand werd geediteerd met Excel 2000 in een vorige sessie. Wanneer je dit paswoord geeft, kan dit bestand niet meer onder Excel 2000 geopend worden. Ben je zeker dat dit bestand nooit meer onder Excel 2000 geediteerd zal worden? Bijvoorbeeld: door een toeleverancier?</t>
  </si>
  <si>
    <t>sorteren</t>
  </si>
  <si>
    <t>Le Fichier  ne peut être ouvert qu' avec une version Excel 2002 ou une version plus récente.</t>
  </si>
  <si>
    <t>Le Fichier  ne peut être ouvert qu' avec la version MME. Excel 2000 ou une version plus récente. Pour  toutes les fonctionnalités, d'Excel 2002/XP est obligatoire.</t>
  </si>
  <si>
    <t>Datum van meting</t>
  </si>
  <si>
    <t>Revisie van uitmeting</t>
  </si>
  <si>
    <t>txtLanguageNote</t>
  </si>
  <si>
    <t>Gewählte Sprache:</t>
  </si>
  <si>
    <t>Selected language:</t>
  </si>
  <si>
    <t>Attention ! Ce Fichier a été édité avec Excel 2000 en version précédente. Si vous générez ce mot de passe, ce fichier ne peut  être ouvert qu'avec Excel  2000 ou une version plus récente. Etes-vous vous sûr que ce fichier ne sera jamais édité avec Excel 2000 ou une version plus récente ? Par exemple par un Sous traitant extérieur ?</t>
  </si>
  <si>
    <t>Česky</t>
  </si>
  <si>
    <t>Tento proces byl zrušen uživatelem.</t>
  </si>
  <si>
    <t>Tento list s názvem "%" již existuje!</t>
  </si>
  <si>
    <t>Tato funkce je dostupná, jetli-že list není uzamčen.</t>
  </si>
  <si>
    <t>tool transfer</t>
  </si>
  <si>
    <t>Není možné přidat/odebrat řádky mezi řádkem 1 a %.</t>
  </si>
  <si>
    <t>Opravdu chcete smazat řádky % až % ?</t>
  </si>
  <si>
    <t>Pozn.: tento list je vytvořen ale specifikovaná pozice # nexistuje. Prosím přidejte údaje listu rozměrové zprávy ručně (Dimensional report).</t>
  </si>
  <si>
    <t>Tento soubor může být spuštěn jen v jedné Excel aplikaci. Spuštění nové Excel aplikace a načtení tohoto souboru v této aplikaci.</t>
  </si>
  <si>
    <t>Tento soubor může být otevřen pouze v MS EXCEL verze 2002 nebo vyšší.</t>
  </si>
  <si>
    <t>Tento soubor může být otevřen pouze v MS EXCEL verze 2000 nebo vyšší. Pro plnou funkci je požadován MS EXCEL 2002/XP jako minimum.</t>
  </si>
  <si>
    <t>Pozor! Tento soubor byl při předchozím otevření editován v MS EXCEL 2000. Jestli-že jste přiřadili heslo, tento soubor nemůže být opět otevřen v MS EXCEL 2000. Jste si jistý, že tento soubor nebudete víckrát editovat v MS EXCEL 2000? Například dodavatelem?</t>
  </si>
  <si>
    <t>Vytvořit.</t>
  </si>
  <si>
    <t>Vytvořit list pro tolerance pozice.</t>
  </si>
  <si>
    <t>Nastavit heslo pro uzamčení naměřených hodnot.</t>
  </si>
  <si>
    <t>Odemknout naměřené hodnoty pomocí hesla.</t>
  </si>
  <si>
    <t>Vytvořit MCS list.</t>
  </si>
  <si>
    <t>Vytvořit vyhodnocovací zprávu.</t>
  </si>
  <si>
    <t>Nastavit jazyk.</t>
  </si>
  <si>
    <t>Vytvořit počet zdvihů.</t>
  </si>
  <si>
    <t>Množství</t>
  </si>
  <si>
    <t>V listu DimensionalReport.</t>
  </si>
  <si>
    <t>Vytvořit měřící pozice.</t>
  </si>
  <si>
    <t>Řádky.</t>
  </si>
  <si>
    <t>Krok.</t>
  </si>
  <si>
    <t>Vytvořit přidané měřící pozice.</t>
  </si>
  <si>
    <t>Na pozici.</t>
  </si>
  <si>
    <t>Vytvořit list pro tolerance pozice (na průměru).</t>
  </si>
  <si>
    <t>Vytvořit list pro tolerance pozice (na čtverci).</t>
  </si>
  <si>
    <t>Fixovat naměřené hodnoty.</t>
  </si>
  <si>
    <t>Pojmout všechny datové listy</t>
  </si>
  <si>
    <t>Dočasně deaktivovat.</t>
  </si>
  <si>
    <t>Odkaz</t>
  </si>
  <si>
    <t>Název</t>
  </si>
  <si>
    <t>pro</t>
  </si>
  <si>
    <t>s</t>
  </si>
  <si>
    <t>Zdvih</t>
  </si>
  <si>
    <t>Pozice</t>
  </si>
  <si>
    <t>Tato funkce aktuálně nelze použít.</t>
  </si>
  <si>
    <t>Smazat vybrané sloupce.</t>
  </si>
  <si>
    <t>Smazat vybrané řádky.</t>
  </si>
  <si>
    <t>Třídit.</t>
  </si>
  <si>
    <t>Zobrazit nebo skrýt Taguchi.</t>
  </si>
  <si>
    <t>Zrušit.</t>
  </si>
  <si>
    <t>Název.</t>
  </si>
  <si>
    <t>Pozice číslo.</t>
  </si>
  <si>
    <t>Popis.</t>
  </si>
  <si>
    <t>Jmenovitá hodnota.</t>
  </si>
  <si>
    <t>Jednotky.</t>
  </si>
  <si>
    <t>Horní tolerance:USL (Tol+)</t>
  </si>
  <si>
    <t>Spodní tolerance:LSL (Tol-)</t>
  </si>
  <si>
    <t>Poznámky měření.</t>
  </si>
  <si>
    <t>Poznámky PE</t>
  </si>
  <si>
    <t>Datum měření.</t>
  </si>
  <si>
    <t>Uvolnění PE</t>
  </si>
  <si>
    <t>Naměřená hodnota.</t>
  </si>
  <si>
    <t>Odchylka.</t>
  </si>
  <si>
    <t>Revize rozměrového protokolu.</t>
  </si>
  <si>
    <t>Komentáře.</t>
  </si>
  <si>
    <t>Odsouhlasení měřící zprávy - může být vyplněno pouze Product Eng.!</t>
  </si>
  <si>
    <t>Anglicky.</t>
  </si>
  <si>
    <t>Dodavatel.</t>
  </si>
  <si>
    <t>Číslo nástroje dodavatele.</t>
  </si>
  <si>
    <t>RAL barva</t>
  </si>
  <si>
    <t>Výstupní zpráva #</t>
  </si>
  <si>
    <t>Project Manager nástroje</t>
  </si>
  <si>
    <t>Objednávka #</t>
  </si>
  <si>
    <t>Zde vložit digitální foto a vysvětlivky týkající se měření.</t>
  </si>
  <si>
    <t>Související dokumentace.</t>
  </si>
  <si>
    <t>Číslo.</t>
  </si>
  <si>
    <t>Značka.</t>
  </si>
  <si>
    <t>Poznámka</t>
  </si>
  <si>
    <t>Nejnovější verzi těchto dokumentů zkontrolujte v DmTecu nebo DocManageru!</t>
  </si>
  <si>
    <t>Dodavatel: pro obdržení poslední verze dodavatelské dokumentace, prosím kontaktujte vašeho Project Managera nástroje.</t>
  </si>
  <si>
    <t>Prosím vyhněte se těchto typických chyb při poskytování této rozměrové zprávy.</t>
  </si>
  <si>
    <t>Hlavní data v DocManageru mají nesprávný název.</t>
  </si>
  <si>
    <t>Nový objekt vytvořený v DocManageru pro rozměrovou zprávu místo revize již existujícího.</t>
  </si>
  <si>
    <t>Excelový soubor má špatný název.</t>
  </si>
  <si>
    <t>Údaje v hlavičce jsou nesprávná/ neúplná.</t>
  </si>
  <si>
    <t>Číslování pozic není správné/ nesouhlasí s číslováním na výkrese.</t>
  </si>
  <si>
    <t>Měřící výkres je vložen do rozměrové zprávy. Vložte pouze obrázky a výřezy:</t>
  </si>
  <si>
    <t xml:space="preserve">   vysvětlující orientaci a souřadný systém měřené součásti. Měřící výkres může být přiložen</t>
  </si>
  <si>
    <t>Il file può essere aperto con Excel 2002 o con versioni più recenti</t>
  </si>
  <si>
    <t>Il file può essere apero con MS Excel 2000 o con versioni più recenti.  Per la piena funzionalità si richiede almeno MS Excel2002/XP.</t>
  </si>
  <si>
    <t>TE Customer</t>
  </si>
  <si>
    <t>TE Zákazník.</t>
  </si>
  <si>
    <t>TE Kunde</t>
  </si>
  <si>
    <t>TE Cliente</t>
  </si>
  <si>
    <t>TE Client</t>
  </si>
  <si>
    <t>TE Klant</t>
  </si>
  <si>
    <t xml:space="preserve">Attenzione! Questo file è stato elaborato con MS Excel 2000 in una precedente sessione. Se si assegna questa password, questo file non può più essere di nuovo modificato con MS Excel 2000?  Per esempio da un fornitore esterno? </t>
  </si>
  <si>
    <t>Seleziona</t>
  </si>
  <si>
    <t xml:space="preserve">  jako samostatný dokument současně s rozměrovou zprávou do DM.TECu (menu "actions" \ "Add content…").</t>
  </si>
  <si>
    <t>Měřené tvary a orientace je nesprávná nebo chybná.</t>
  </si>
  <si>
    <t>Měření je nekompletní, chybějící pozice.</t>
  </si>
  <si>
    <t>Formulář je upraven nepovoleným způsobem.</t>
  </si>
  <si>
    <t>Podmíněné formátování ve formuláři je smazáno ne přepsáno.</t>
  </si>
  <si>
    <t>Chybějící rozměry z předchozího měření.</t>
  </si>
  <si>
    <t>Nové sloupce jsou vloženy přidáním nových měřících výsledků v předchozím měření.</t>
  </si>
  <si>
    <t>Rozměry a tolerance z měřícího výkresu jsou přeneseny nesprávně.</t>
  </si>
  <si>
    <t>Zkontrolujte změřené výsledky z důvodu zjevně nesprávných hodnot.</t>
  </si>
  <si>
    <t>Zkontrolujte výsledky měření protože několik výsledků je shodných na všech desetinných místech, dokonce i v 1/100.</t>
  </si>
  <si>
    <t>Rozměrová zpráva obsahuje návaznost na další soubory.</t>
  </si>
  <si>
    <t>Pos</t>
  </si>
  <si>
    <t>Positionstoleranzen im Rechteck</t>
  </si>
  <si>
    <t>Positional Tolerances - Rectangular</t>
  </si>
  <si>
    <t>Customer</t>
  </si>
  <si>
    <t>Date of issue</t>
  </si>
  <si>
    <t>Tolerance value X</t>
  </si>
  <si>
    <t>Tolerance value Y</t>
  </si>
  <si>
    <t>Position Tol. X</t>
  </si>
  <si>
    <t>Position Tol. Y</t>
  </si>
  <si>
    <t>Position /</t>
  </si>
  <si>
    <t>Nest / Cavity</t>
  </si>
  <si>
    <t>Contact Cavity</t>
  </si>
  <si>
    <t>X</t>
  </si>
  <si>
    <t>Y</t>
  </si>
  <si>
    <t>Positionstoleranzen im Durchmesser</t>
  </si>
  <si>
    <t>Positional Tolerances - Diameter</t>
  </si>
  <si>
    <t>Tolerance value</t>
  </si>
  <si>
    <t>max.</t>
  </si>
  <si>
    <t>Position</t>
  </si>
  <si>
    <t>tol.</t>
  </si>
  <si>
    <t>Measurement No.</t>
  </si>
  <si>
    <t>Cav. 1</t>
  </si>
  <si>
    <t>Cav. 2</t>
  </si>
  <si>
    <t>Cav. 3</t>
  </si>
  <si>
    <t>Cav. 4</t>
  </si>
  <si>
    <t>Appraisal</t>
  </si>
  <si>
    <t>ReportQuality</t>
  </si>
  <si>
    <t>-</t>
  </si>
  <si>
    <t>Scannen Sie das unterschriebene Formular. Bevorzugen Sie *.jpg. Verwenden Sie nicht *.bmp!</t>
  </si>
  <si>
    <t>txtRelatedDocuPSW7</t>
  </si>
  <si>
    <t>Z</t>
  </si>
  <si>
    <t>D</t>
  </si>
  <si>
    <t>E</t>
  </si>
  <si>
    <t>Machine/Machine Group*</t>
  </si>
  <si>
    <t>Stroj/Skupina strojů*</t>
  </si>
  <si>
    <t>Maschine/Maschinengruppe*</t>
  </si>
  <si>
    <t>Máquina/Grupo de Inyección*</t>
  </si>
  <si>
    <t>Groupe / Type de Presse à injection*</t>
  </si>
  <si>
    <t>Gruppo/ Tipo di pressa*</t>
  </si>
  <si>
    <t>Machine / Lijn / Cel*</t>
  </si>
  <si>
    <t>txtInspectionDevice</t>
  </si>
  <si>
    <t>Messbereich</t>
  </si>
  <si>
    <t>Sheet_InspectionDeviceRegister</t>
  </si>
  <si>
    <t>txtMeasuringRange</t>
  </si>
  <si>
    <t>txtMeasuringAccuracy</t>
  </si>
  <si>
    <t>Messgenauigkeit</t>
  </si>
  <si>
    <t>txtMsaReference</t>
  </si>
  <si>
    <t>Measuring Range</t>
  </si>
  <si>
    <t>Measuring Accuracy</t>
  </si>
  <si>
    <t>Reference to MSA</t>
  </si>
  <si>
    <t>Referenz zur MSA</t>
  </si>
  <si>
    <t>Examples:</t>
  </si>
  <si>
    <t>&lt;Visual inspection&gt;</t>
  </si>
  <si>
    <t>Visual inspection</t>
  </si>
  <si>
    <t>Last row. Insert additional rows above, only!</t>
  </si>
  <si>
    <t>txtLastRow</t>
  </si>
  <si>
    <t>txtExamples</t>
  </si>
  <si>
    <t>Beispiele</t>
  </si>
  <si>
    <t>Rango de medición</t>
  </si>
  <si>
    <t>Precisión de medición</t>
  </si>
  <si>
    <t>Ejemplos:</t>
  </si>
  <si>
    <t>Última fila. Insertar filas adicionales únicamente arriba!</t>
  </si>
  <si>
    <t>Intervallo di misurazione</t>
  </si>
  <si>
    <t>Accuratezza della misurazione</t>
  </si>
  <si>
    <t>Riferimento al MSA</t>
  </si>
  <si>
    <t>Ultima riga. Inserire righe aggiuntive solamente sopra!</t>
  </si>
  <si>
    <t>Esempi:</t>
  </si>
  <si>
    <t>txtMSADisclaimer</t>
  </si>
  <si>
    <t>Inspector is responsible for selection of appropriate and capable tools for inspection!
This will not be checked by TE product engineering!</t>
  </si>
  <si>
    <t>Letzte Zeile. Fügen Sie neue Zeilen nur oberhalb dieser hinzu!</t>
  </si>
  <si>
    <t>El Inspector es responsable de la selección de los instrumentos capaces apropiados para la inspección!
Esto no será comprobado por el ingeniero de producto de TE!</t>
  </si>
  <si>
    <t>Il misuratore è il responsabile della scelta dell'attrezzatura adeguata ed in grado di effettuare la misurazione!
Questo non sarà controllato dall'Ingegneria di prodotto TE!</t>
  </si>
  <si>
    <t>Der Prüfer ist veranwortlich dafür, geeignete und fähige Messmittel auszuwählen! 
Dies wird nicht von der TE Produktentwicklung überprüft!</t>
  </si>
  <si>
    <t>QMP_EMEA_025</t>
  </si>
  <si>
    <t>Process &amp; Tool Transfers</t>
  </si>
  <si>
    <t>See chapter 6.3 for dimensions to be messured in terms of tool transfers</t>
  </si>
  <si>
    <t>Inspection Device, ID*</t>
  </si>
  <si>
    <t>Messmittel, ID*</t>
  </si>
  <si>
    <t>Equipo de medida, ID*</t>
  </si>
  <si>
    <t>Équipement de mesure, ID*</t>
  </si>
  <si>
    <t>Strumento di Misura, ID*</t>
  </si>
  <si>
    <t>Microna 2D KMG optical, 0815</t>
  </si>
  <si>
    <t>DEA 3D KMG tactile, 4711</t>
  </si>
  <si>
    <t>Radius gauge, 11.22.33</t>
  </si>
  <si>
    <t>Digital calliper 150, 222222</t>
  </si>
  <si>
    <t>Intervalle de mesure</t>
  </si>
  <si>
    <t>Précision du moyen</t>
  </si>
  <si>
    <t>Référence au MSA</t>
  </si>
  <si>
    <t xml:space="preserve">Dernière ligne. Insérer des lignes supplémentaires </t>
  </si>
  <si>
    <t>Exemples:</t>
  </si>
  <si>
    <t>Le contrôleur est responsable de la sélection d’un moyen de mesure approprié et capable ! Ce n’est pas de la responsabilité de l’ingénieur produit !</t>
  </si>
  <si>
    <t>PE-AUT-AV-00011-001</t>
  </si>
  <si>
    <t>Attention! This file was edited with Excel 2000 in a previous session. If you assign this password, this file can't be opened with Excel 2000 anymore. Are you sure this file never will be edited with Excel 2000 again? For example by a Supplier?</t>
  </si>
  <si>
    <t>Achtung: diese Datei wurde in einer früheren Sitzung unter Excel 2000 bearbeitet. Wenn Sie dieses Passwort vergeben, kann die Datei unter Excel 2000 nicht mehr geöffnet werden. Sind Sie sicher, dass diese Datei nicht mehr unter Excel 2000 geöffnet werden soll, zum Beispiel bei einem Lieferanten?</t>
  </si>
  <si>
    <t>Supplier</t>
  </si>
  <si>
    <t>TE Supplier ID*</t>
  </si>
  <si>
    <t>Supplier Tool Number</t>
  </si>
  <si>
    <t>Supplier Report #</t>
  </si>
  <si>
    <t>Suppliers: please contact your Tool Project Manager to obtain latest version of the supplier documentation.</t>
  </si>
  <si>
    <t>Suppliers: kontaktieren sie Ihren Tool Project Manager für die jeweils aktuelle Ausgabe der Lieferanten Dokumentation.</t>
  </si>
  <si>
    <t>Suppliers: neem kontakt op met uw werktuig projekt manager voor de actuele leverancier documentatie</t>
  </si>
  <si>
    <t>Note: The PSW is required from suppliers, only.</t>
  </si>
  <si>
    <t>Hinweis: das PSW Blatt ist nur für Lieferanten erforderlich.</t>
  </si>
  <si>
    <t>Nota: De PSW is alleen nodig voor suppliers.</t>
  </si>
  <si>
    <t>This information is confidential and proprietary to TE Connectivity Ltd. and its worldwide subsidiaries and affiliates. It may not be disclosed to anyone, other than TE personnel, without written authorization from TE Connectivity Ltd., Harrisburg, Pennsylvania USA.</t>
  </si>
  <si>
    <t>Digital Report</t>
  </si>
  <si>
    <t>txtDigitalReportHeader</t>
  </si>
  <si>
    <t>txtDigitalReportNote01</t>
  </si>
  <si>
    <t>Enter here Digital Inspection Reports according</t>
  </si>
  <si>
    <t>SWI_EMEA_085_3</t>
  </si>
  <si>
    <t>txtDigitalReportNote02</t>
  </si>
  <si>
    <t>Production Release</t>
  </si>
  <si>
    <t>QMP_EMEA_057</t>
  </si>
  <si>
    <t>QMP_EMEA_047</t>
  </si>
  <si>
    <t>Dual Material Procedure</t>
  </si>
  <si>
    <t>Digital Inspection Reporting</t>
  </si>
  <si>
    <t>txtCBReason7</t>
  </si>
  <si>
    <t>overhaul</t>
  </si>
  <si>
    <t>Ueberholung</t>
  </si>
  <si>
    <t>Examen</t>
  </si>
  <si>
    <t>révision</t>
  </si>
  <si>
    <t>Revisione</t>
  </si>
  <si>
    <t>Revision</t>
  </si>
  <si>
    <t>Oprava</t>
  </si>
  <si>
    <t>&lt;Leo Inspector, Roy Tester&gt;</t>
  </si>
  <si>
    <t>Advanced Procurement / Buyer</t>
  </si>
  <si>
    <t>Advanced Procurement / Buyer - eMail</t>
  </si>
  <si>
    <t>New Revision</t>
  </si>
  <si>
    <t>Changes (short description)</t>
  </si>
  <si>
    <t>D. Walther</t>
  </si>
  <si>
    <t>Change Date
(yyyy-mm-dd)</t>
  </si>
  <si>
    <t>D10</t>
  </si>
  <si>
    <t>D11</t>
  </si>
  <si>
    <t>D12</t>
  </si>
  <si>
    <t>D13</t>
  </si>
  <si>
    <t>D14</t>
  </si>
  <si>
    <t>Sheet</t>
  </si>
  <si>
    <t>HeaderData</t>
  </si>
  <si>
    <t>Mahesh A C</t>
  </si>
  <si>
    <t>Larger Display of TCPN at the bottom of print Area in HeaderData sheet</t>
  </si>
  <si>
    <t>PSW</t>
  </si>
  <si>
    <t>PSW Template write access restored</t>
  </si>
  <si>
    <r>
      <t xml:space="preserve">Picture </t>
    </r>
    <r>
      <rPr>
        <b/>
        <i/>
        <sz val="9"/>
        <rFont val="Arial"/>
        <family val="2"/>
      </rPr>
      <t>(Optional)</t>
    </r>
  </si>
  <si>
    <t>A. HeaderData,
B. DimensionalReport</t>
  </si>
  <si>
    <t xml:space="preserve">A. Field for Procurement contact details added.
B. Details for Legends used in evaluation (rating) modified
</t>
  </si>
  <si>
    <t>Company name updated to TE Connectivity Germany GmbH in Dimensional Report form and manual</t>
  </si>
  <si>
    <t>V1</t>
  </si>
  <si>
    <t>V2</t>
  </si>
  <si>
    <t>D15</t>
  </si>
  <si>
    <t xml:space="preserve">
A. DimensionalReport</t>
  </si>
  <si>
    <t>V1/V2 added for "Release  PE" dropdown</t>
  </si>
  <si>
    <t>Type of Material</t>
  </si>
  <si>
    <t>txtTypeofMat</t>
  </si>
  <si>
    <t>txtNumberofDie</t>
  </si>
  <si>
    <t>txtTrackinuse</t>
  </si>
  <si>
    <t>txtSamplesperTrack</t>
  </si>
  <si>
    <t>txtDatum</t>
  </si>
  <si>
    <t>Alignment Description</t>
  </si>
  <si>
    <t>D16</t>
  </si>
  <si>
    <t>Cav1</t>
  </si>
  <si>
    <t>Cav2</t>
  </si>
  <si>
    <t>a2</t>
  </si>
  <si>
    <t>b2</t>
  </si>
  <si>
    <t>c2</t>
  </si>
  <si>
    <t>&lt;pin header&gt;</t>
  </si>
  <si>
    <t>&lt;1-1111111-1&gt;</t>
  </si>
  <si>
    <t>&lt;A&gt;</t>
  </si>
  <si>
    <t>&lt;51-12345&gt;</t>
  </si>
  <si>
    <t>&lt;1111111&gt;</t>
  </si>
  <si>
    <t>&lt;A1&gt;</t>
  </si>
  <si>
    <t>&lt;1&gt;</t>
  </si>
  <si>
    <t>&lt;31.12.2099&gt;</t>
  </si>
  <si>
    <t>&lt;City&gt;</t>
  </si>
  <si>
    <t>&lt;Joe Checker&gt;</t>
  </si>
  <si>
    <t>&lt;123456789&gt;</t>
  </si>
  <si>
    <t>&lt;checker.joe@te.com&gt;</t>
  </si>
  <si>
    <t>&lt;Chris Engineer&gt;</t>
  </si>
  <si>
    <t>&lt;CEngineer@te.com&gt;</t>
  </si>
  <si>
    <t>&lt;Jim Mold&gt;</t>
  </si>
  <si>
    <t>&lt;John Buyer&gt;</t>
  </si>
  <si>
    <t>&lt;john.buyer@te.com&gt;</t>
  </si>
  <si>
    <t>&lt;Supplier-ID&gt;</t>
  </si>
  <si>
    <t>&lt;Supplier Company Name&gt;</t>
  </si>
  <si>
    <t>Plastic</t>
  </si>
  <si>
    <t>&lt;3,75 gr&gt;</t>
  </si>
  <si>
    <t>&lt;PBT-GF20&gt;</t>
  </si>
  <si>
    <t>&lt;1-1234567-1&gt;</t>
  </si>
  <si>
    <t>&lt;1307&gt;</t>
  </si>
  <si>
    <t>&lt;25 % close loop&gt;</t>
  </si>
  <si>
    <t>&lt; #123&gt;</t>
  </si>
  <si>
    <t>&lt;Demag ET 500&gt;</t>
  </si>
  <si>
    <t>&lt;20 sec&gt;</t>
  </si>
  <si>
    <t>&lt;4&gt;</t>
  </si>
  <si>
    <t>&lt;1, 2, - , -&gt;</t>
  </si>
  <si>
    <t>txtAccept</t>
  </si>
  <si>
    <t>Acceptance of report - to be filled out by Product Eng. only!*</t>
  </si>
  <si>
    <t>&lt;1234&gt;</t>
  </si>
  <si>
    <t>A. HeaderData
B. DimensionalReport
C. Dimensional Report
D. MachineCapability
E. HeaderData</t>
  </si>
  <si>
    <t>A.Fields for Material Metal (Contacts) included.
B. Size of the Picture/Box indicating 'Assessment Criteria' guideline in PE Remark reduced to fit in available Row height.
C.Alignment Description Column added.
D. Data entries in the sheet is linked to HeaderData sheet.
E. TE Control Report Number field is mandatory and Report cannot be accepted without a valid Control Report Number</t>
  </si>
  <si>
    <t>Iteration 17</t>
  </si>
  <si>
    <t>A. DimensionalReport</t>
  </si>
  <si>
    <t>D17</t>
  </si>
  <si>
    <t>Ashwin Sahajan
Boris Daniel</t>
  </si>
  <si>
    <r>
      <t xml:space="preserve">If Column Release PE V2 is chosen Remark PE gets automatically highlighted with a red background. If Text get´s entered the background color gets removed.
Release PE Comment :
V2 = Released with reservation; related to a  function feature.
</t>
    </r>
    <r>
      <rPr>
        <b/>
        <sz val="10"/>
        <rFont val="Arial"/>
        <family val="2"/>
      </rPr>
      <t>Decision basis for evaluation as mandatory to be entered in Remark PE field</t>
    </r>
  </si>
  <si>
    <t>txtseparator1</t>
  </si>
  <si>
    <t>Dot Separator</t>
  </si>
  <si>
    <t>Comma Separator</t>
  </si>
  <si>
    <t>Oddělovač teček</t>
  </si>
  <si>
    <t>Oddělovač čárkou</t>
  </si>
  <si>
    <t>Punkttrennzeichen</t>
  </si>
  <si>
    <t>Komma-Trennzeichen</t>
  </si>
  <si>
    <t>Separador de puntos</t>
  </si>
  <si>
    <t>Separador de coma</t>
  </si>
  <si>
    <t>Séparateur de points</t>
  </si>
  <si>
    <t>Séparateur de virgule</t>
  </si>
  <si>
    <t>Separatore di punti</t>
  </si>
  <si>
    <t>Separatore virgola</t>
  </si>
  <si>
    <t>Puntscheidingsteken</t>
  </si>
  <si>
    <t>Komma scheidingsteken</t>
  </si>
  <si>
    <t>txtseparator2</t>
  </si>
  <si>
    <t>&lt;A1.0&gt;</t>
  </si>
  <si>
    <t>txtTeCADrev</t>
  </si>
  <si>
    <t>TE CAD Model Revision*</t>
  </si>
  <si>
    <t>&lt;1234567890&gt;</t>
  </si>
  <si>
    <t>Contact - eMail*</t>
  </si>
  <si>
    <t>Kontakt - Email*</t>
  </si>
  <si>
    <t>Kontakt - eMail*</t>
  </si>
  <si>
    <t>Contacto - email*</t>
  </si>
  <si>
    <t>Contact - courriel*</t>
  </si>
  <si>
    <t>Contatto e-mail*</t>
  </si>
  <si>
    <t>Contact e-mail*</t>
  </si>
  <si>
    <t>TE Product Engineer*</t>
  </si>
  <si>
    <t>TE Ingeniero de Producto*</t>
  </si>
  <si>
    <t>TE Ingénieur produit*</t>
  </si>
  <si>
    <t>Tecnico di Prodotto TE*</t>
  </si>
  <si>
    <t>Material TE part number*</t>
  </si>
  <si>
    <t>Material lot number*</t>
  </si>
  <si>
    <t>Materiál Číslo dílu TE*</t>
  </si>
  <si>
    <t>Skupina*</t>
  </si>
  <si>
    <t>Material TE-Teilenummer*</t>
  </si>
  <si>
    <t>Chargen Nr.*</t>
  </si>
  <si>
    <t>Material TE número de pieza*</t>
  </si>
  <si>
    <t>Lote*</t>
  </si>
  <si>
    <t>Matériau Numéro de pièce TE*</t>
  </si>
  <si>
    <t>N° de Lot*</t>
  </si>
  <si>
    <t>TE Part number del materiale*</t>
  </si>
  <si>
    <t>Lotto n.*</t>
  </si>
  <si>
    <t>TE Materiaalnummer*</t>
  </si>
  <si>
    <t>Lot nr.*</t>
  </si>
  <si>
    <t>Used Regrind %</t>
  </si>
  <si>
    <t>Použité přebroušení %</t>
  </si>
  <si>
    <t>Verwendetes Mahlgut %</t>
  </si>
  <si>
    <t>% de triturado usado</t>
  </si>
  <si>
    <t>% de rebroyage utilisé</t>
  </si>
  <si>
    <t>% macinato usato</t>
  </si>
  <si>
    <t>Gebruikt maalgoed %</t>
  </si>
  <si>
    <t>Production date*</t>
  </si>
  <si>
    <t>Datum produkce*</t>
  </si>
  <si>
    <t>Produktions Datum*</t>
  </si>
  <si>
    <t>Fecha de Producción*</t>
  </si>
  <si>
    <t>Date de fabrication*</t>
  </si>
  <si>
    <t>Data di produzione*</t>
  </si>
  <si>
    <t>Productiedatum*</t>
  </si>
  <si>
    <t>No of Track / Die*</t>
  </si>
  <si>
    <t>No of Track or Die*</t>
  </si>
  <si>
    <t>Quantity of cavities*</t>
  </si>
  <si>
    <t>Počet kavit.*</t>
  </si>
  <si>
    <t>Anzahl der Nester*</t>
  </si>
  <si>
    <t>Número de cavidades*</t>
  </si>
  <si>
    <t>Nombre d'empreintes du moule*</t>
  </si>
  <si>
    <t>Numero di impronte*</t>
  </si>
  <si>
    <t>Aantal nesten*</t>
  </si>
  <si>
    <t>Totaal aantal en nummers v/d gebruikte nesten*</t>
  </si>
  <si>
    <t>Numeri di impronte utilizzate*</t>
  </si>
  <si>
    <t>Nombre d'empreintes utilisées*</t>
  </si>
  <si>
    <t>Número total de cavidades en uso*</t>
  </si>
  <si>
    <t>Anzahl und Nr. genutzter Nester*</t>
  </si>
  <si>
    <t>Celkový počet použitých kavit *</t>
  </si>
  <si>
    <t>Total and numbers of cavities in use*</t>
  </si>
  <si>
    <t>Quantity of samples per cavity*</t>
  </si>
  <si>
    <t>Počet vzorků na formu*</t>
  </si>
  <si>
    <t>Anzahl der Musterteile pro Nest*</t>
  </si>
  <si>
    <t>Cantidad de muestras por cavidad*</t>
  </si>
  <si>
    <t>Nombre d'échantillons par empreinte*</t>
  </si>
  <si>
    <t>Quantità di campioni per impronta*</t>
  </si>
  <si>
    <t>Aantal delen per caviteit*</t>
  </si>
  <si>
    <t>Total and Number of Tracks / Die in use*</t>
  </si>
  <si>
    <t>Qty samples per Track*</t>
  </si>
  <si>
    <t>Revize modelu TE CAD*</t>
  </si>
  <si>
    <t>Überarbeitung des TE-CAD-Modells*</t>
  </si>
  <si>
    <t>Revisión del modelo TE CAD*</t>
  </si>
  <si>
    <t>Révision du modèle CAO TE*</t>
  </si>
  <si>
    <t>Revisione del modello CAD TE*</t>
  </si>
  <si>
    <t>TE CAD-model Revisie*</t>
  </si>
  <si>
    <t>txtQtyCav</t>
  </si>
  <si>
    <t>txtUseCav</t>
  </si>
  <si>
    <t>txtSamplesPerCavity</t>
  </si>
  <si>
    <t>Quantity of Cavity/Track*</t>
  </si>
  <si>
    <t>Active Cavity/Track*</t>
  </si>
  <si>
    <t>Sample Per Cavity/Track*</t>
  </si>
  <si>
    <t>txtCBReason1-old</t>
  </si>
  <si>
    <t>txtCBReason2-old</t>
  </si>
  <si>
    <t>txtCBReason3-old</t>
  </si>
  <si>
    <t>txtCBReason4-old</t>
  </si>
  <si>
    <t>txtCBReason5-old</t>
  </si>
  <si>
    <t>txtCBReason6-old</t>
  </si>
  <si>
    <t>txtCBReason7-old</t>
  </si>
  <si>
    <t>txtCBReason8</t>
  </si>
  <si>
    <t>txtCBReason9</t>
  </si>
  <si>
    <t>txtCBReason10</t>
  </si>
  <si>
    <t>txtCBReason11</t>
  </si>
  <si>
    <t>txtCBReason12</t>
  </si>
  <si>
    <t>txtCBReason13</t>
  </si>
  <si>
    <t>New Product - Series</t>
  </si>
  <si>
    <t>New Product - Pilot</t>
  </si>
  <si>
    <t>New Product - Tool Source</t>
  </si>
  <si>
    <t>Change of Form/Fit/Function</t>
  </si>
  <si>
    <t>Change of Material</t>
  </si>
  <si>
    <t>Process Change</t>
  </si>
  <si>
    <t>Replication/Duplication Of tool - Series</t>
  </si>
  <si>
    <t>Replication/Duplication Of tool - Pilot</t>
  </si>
  <si>
    <t>Replication/Duplication Of tool - Tool Source</t>
  </si>
  <si>
    <t>Tool Transfer</t>
  </si>
  <si>
    <t>Overhaul of tool</t>
  </si>
  <si>
    <t>No production More than 12 months</t>
  </si>
  <si>
    <t>Dual Material</t>
  </si>
  <si>
    <t>Nový produkt - série</t>
  </si>
  <si>
    <t>Nový produkt - Pilot</t>
  </si>
  <si>
    <t>Nový produkt – zdroj nástroje</t>
  </si>
  <si>
    <t>Změna formy/přizpůsobení/funkce</t>
  </si>
  <si>
    <t>Změna materiálu</t>
  </si>
  <si>
    <t>Změna procesu</t>
  </si>
  <si>
    <t>Replikace/Duplikace nástroje – série</t>
  </si>
  <si>
    <t>Replikace/Duplikace nástroje - Pilot</t>
  </si>
  <si>
    <t>Replikace/Duplikace nástroje – Zdroj nástroje</t>
  </si>
  <si>
    <t>Přenos nástroje</t>
  </si>
  <si>
    <t>Generální oprava nástroje</t>
  </si>
  <si>
    <t>Žádná výroba Více než 12 měsíců</t>
  </si>
  <si>
    <t>Dvojitý materiál</t>
  </si>
  <si>
    <t>Neues Produkt - Serie</t>
  </si>
  <si>
    <t>Neues Produkt – Pilot</t>
  </si>
  <si>
    <t>Neues Produkt – Tool Source</t>
  </si>
  <si>
    <t>Änderung von Form/Passform/Funktion</t>
  </si>
  <si>
    <t>Materialwechsel</t>
  </si>
  <si>
    <t>Prozessänderung</t>
  </si>
  <si>
    <t>Replikation/Duplikation von Werkzeugen – Serie</t>
  </si>
  <si>
    <t>Replikation/Duplikation des Tools – Pilot</t>
  </si>
  <si>
    <t>Replikation/Duplikation des Werkzeugs – Werkzeugquelle</t>
  </si>
  <si>
    <t>Werkzeugtransfer</t>
  </si>
  <si>
    <t>Überholung des Werkzeugs</t>
  </si>
  <si>
    <t>Keine Produktion Mehr als 12 Monate</t>
  </si>
  <si>
    <t>Duales Material</t>
  </si>
  <si>
    <t>Nuevo producto - Serie</t>
  </si>
  <si>
    <t>Nuevo producto - Piloto</t>
  </si>
  <si>
    <t>Nuevo producto - Fuente de herramientas</t>
  </si>
  <si>
    <t>Cambio de forma/ajuste/función</t>
  </si>
  <si>
    <t>Cambio de Material</t>
  </si>
  <si>
    <t>Cambio de proceso</t>
  </si>
  <si>
    <t>Replicación/Duplicación de herramienta - Serie</t>
  </si>
  <si>
    <t>Replicación/Duplicación de herramienta - Piloto</t>
  </si>
  <si>
    <t>Replicación/Duplicación de herramienta - Fuente de herramienta</t>
  </si>
  <si>
    <t>Transferencia de herramientas</t>
  </si>
  <si>
    <t>revisión de herramienta</t>
  </si>
  <si>
    <t>Sin producción Más de 12 meses</t>
  </si>
  <si>
    <t>Materiales duales</t>
  </si>
  <si>
    <t>Nouveau produit - Série</t>
  </si>
  <si>
    <t>Nouveau produit - Pilote</t>
  </si>
  <si>
    <t>Nouveau produit - Source d'outils</t>
  </si>
  <si>
    <t>Changement de forme/ajustement/fonction</t>
  </si>
  <si>
    <t>Changement de matériel</t>
  </si>
  <si>
    <t>Changement de processus</t>
  </si>
  <si>
    <t>Réplication/Duplication d'outil - Série</t>
  </si>
  <si>
    <t>Réplication/Duplication d'outil - Pilote</t>
  </si>
  <si>
    <t>Réplication/Duplication de l'outil - Source de l'outil</t>
  </si>
  <si>
    <t>Transfert d'outils</t>
  </si>
  <si>
    <t>Révision de l'outil</t>
  </si>
  <si>
    <t>Aucune production Plus de 12 mois</t>
  </si>
  <si>
    <t>Bi-matière</t>
  </si>
  <si>
    <t>Nuovo prodotto - Serie</t>
  </si>
  <si>
    <t>Nuovo prodotto - Pilota</t>
  </si>
  <si>
    <t>Nuovo prodotto - Fonte strumento</t>
  </si>
  <si>
    <t>Modifica di forma/adattamento/funzione</t>
  </si>
  <si>
    <t>Cambio di materiale</t>
  </si>
  <si>
    <t>Cambiamento di processo</t>
  </si>
  <si>
    <t>Replica/Duplicazione dello strumento - Serie</t>
  </si>
  <si>
    <t>Replica/Duplicazione dello strumento - Pilota</t>
  </si>
  <si>
    <t>Replica/Duplicazione dello strumento - Origine strumento</t>
  </si>
  <si>
    <t>Trasferimento strumento</t>
  </si>
  <si>
    <t>Revisione dello strumento</t>
  </si>
  <si>
    <t>Nessuna produzione Più di 12 mesi</t>
  </si>
  <si>
    <t>Doppio materiale</t>
  </si>
  <si>
    <t>Nieuw product - serie</t>
  </si>
  <si>
    <t>Nieuw product - Piloot</t>
  </si>
  <si>
    <t>Nieuw product - Toolbron</t>
  </si>
  <si>
    <t>Verandering van vorm/pasvorm/functie</t>
  </si>
  <si>
    <t>Verandering van materiaal</t>
  </si>
  <si>
    <t>Procesverandering</t>
  </si>
  <si>
    <t>Replicatie/duplicatie van gereedschap - Serie</t>
  </si>
  <si>
    <t>Replicatie/duplicatie van tool - Pilot</t>
  </si>
  <si>
    <t>Replicatie/duplicatie van tool - Toolbron</t>
  </si>
  <si>
    <t>Gereedschapsoverdracht</t>
  </si>
  <si>
    <t>Revisie van gereedschap</t>
  </si>
  <si>
    <t>Geen productie Meer dan 12 maanden</t>
  </si>
  <si>
    <t>Dubbel materiaal</t>
  </si>
  <si>
    <t>txtRepReason</t>
  </si>
  <si>
    <t>Report Reason</t>
  </si>
  <si>
    <t>Důvod zprávy</t>
  </si>
  <si>
    <t>Grund melden</t>
  </si>
  <si>
    <t>Motivo del informe</t>
  </si>
  <si>
    <t>Raison du rapport</t>
  </si>
  <si>
    <t>Motivo della segnalazione</t>
  </si>
  <si>
    <t>Reden van rapport</t>
  </si>
  <si>
    <t>txtCBReason14</t>
  </si>
  <si>
    <t>txtCBReason15</t>
  </si>
  <si>
    <t>TE Product Engineer - eMail*</t>
  </si>
  <si>
    <t>Correo Electrónico Ingeniero de Producto*</t>
  </si>
  <si>
    <t>TE Ingénieur produit - email*</t>
  </si>
  <si>
    <t>E-mail del Tecnico di Prodotto*</t>
  </si>
  <si>
    <t>TE PE - eMail*</t>
  </si>
  <si>
    <t>txtCBReason16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</si>
</sst>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_ ;[Red]\-0.000\ "/>
    <numFmt numFmtId="166" formatCode="0;[Red]&quot;Adjust&quot;"/>
    <numFmt numFmtId="167" formatCode="[Red]0.000_ ;[Red]\-0.000;0.00"/>
    <numFmt numFmtId="168" formatCode="[$-14009]yyyy\-mm\-dd;@"/>
  </numFmts>
  <fonts count="75">
    <font>
      <sz val="10"/>
      <name val="Arial"/>
    </font>
    <font>
      <sz val="10"/>
      <name val="Arial"/>
      <family val="2"/>
    </font>
    <font>
      <u/>
      <sz val="10"/>
      <color indexed="12"/>
      <name val="Arial"/>
      <family val="2"/>
    </font>
    <font>
      <sz val="10"/>
      <name val="MS Sans Serif"/>
    </font>
    <font>
      <sz val="8"/>
      <name val="Arial"/>
      <family val="2"/>
    </font>
    <font>
      <b/>
      <sz val="18"/>
      <name val="Arial"/>
      <family val="2"/>
    </font>
    <font>
      <b/>
      <sz val="12"/>
      <name val="Arial"/>
      <family val="2"/>
    </font>
    <font>
      <b/>
      <sz val="10"/>
      <name val="Arial"/>
      <family val="2"/>
    </font>
    <font>
      <sz val="12"/>
      <name val="Arial"/>
      <family val="2"/>
    </font>
    <font>
      <b/>
      <sz val="14"/>
      <name val="Arial"/>
      <family val="2"/>
    </font>
    <font>
      <b/>
      <sz val="8"/>
      <name val="Arial"/>
      <family val="2"/>
    </font>
    <font>
      <sz val="10"/>
      <name val="Arial"/>
      <family val="2"/>
    </font>
    <font>
      <b/>
      <sz val="10"/>
      <color indexed="10"/>
      <name val="Arial"/>
      <family val="2"/>
    </font>
    <font>
      <sz val="11"/>
      <name val="Arial"/>
      <family val="2"/>
    </font>
    <font>
      <sz val="8"/>
      <name val="Arial"/>
      <family val="2"/>
    </font>
    <font>
      <b/>
      <i/>
      <sz val="20"/>
      <name val="Arial"/>
      <family val="2"/>
    </font>
    <font>
      <b/>
      <i/>
      <sz val="10"/>
      <name val="Arial"/>
      <family val="2"/>
    </font>
    <font>
      <sz val="8"/>
      <color indexed="81"/>
      <name val="Tahoma"/>
      <family val="2"/>
    </font>
    <font>
      <u/>
      <sz val="10"/>
      <name val="Arial"/>
      <family val="2"/>
    </font>
    <font>
      <b/>
      <sz val="10"/>
      <color indexed="22"/>
      <name val="Arial"/>
      <family val="2"/>
    </font>
    <font>
      <b/>
      <sz val="10"/>
      <name val="Arial"/>
      <family val="2"/>
    </font>
    <font>
      <b/>
      <sz val="8"/>
      <color indexed="81"/>
      <name val="Tahoma"/>
      <family val="2"/>
    </font>
    <font>
      <b/>
      <sz val="11"/>
      <name val="Arial"/>
      <family val="2"/>
    </font>
    <font>
      <b/>
      <sz val="17"/>
      <name val="Arial"/>
      <family val="2"/>
    </font>
    <font>
      <b/>
      <u/>
      <sz val="8"/>
      <name val="Arial"/>
      <family val="2"/>
    </font>
    <font>
      <b/>
      <i/>
      <sz val="8"/>
      <name val="Arial"/>
      <family val="2"/>
    </font>
    <font>
      <b/>
      <sz val="9"/>
      <name val="Arial"/>
      <family val="2"/>
    </font>
    <font>
      <u/>
      <sz val="10"/>
      <name val="Arial"/>
      <family val="2"/>
    </font>
    <font>
      <b/>
      <sz val="8"/>
      <name val="Arial"/>
      <family val="2"/>
    </font>
    <font>
      <b/>
      <i/>
      <sz val="12"/>
      <name val="Arial"/>
      <family val="2"/>
    </font>
    <font>
      <i/>
      <sz val="10"/>
      <name val="Arial"/>
      <family val="2"/>
    </font>
    <font>
      <sz val="8"/>
      <color indexed="55"/>
      <name val="Arial"/>
      <family val="2"/>
    </font>
    <font>
      <sz val="10"/>
      <color indexed="55"/>
      <name val="Arial"/>
      <family val="2"/>
    </font>
    <font>
      <sz val="7"/>
      <name val="Arial"/>
      <family val="2"/>
    </font>
    <font>
      <b/>
      <sz val="7"/>
      <name val="Arial"/>
      <family val="2"/>
    </font>
    <font>
      <sz val="10"/>
      <color indexed="10"/>
      <name val="Arial"/>
      <family val="2"/>
    </font>
    <font>
      <sz val="10"/>
      <color indexed="10"/>
      <name val="Arial"/>
      <family val="2"/>
    </font>
    <font>
      <sz val="9"/>
      <color indexed="81"/>
      <name val="Tahoma"/>
      <family val="2"/>
    </font>
    <font>
      <sz val="11"/>
      <color indexed="63"/>
      <name val="Calibri"/>
      <family val="2"/>
    </font>
    <font>
      <sz val="11"/>
      <color indexed="9"/>
      <name val="Calibri"/>
      <family val="2"/>
    </font>
    <font>
      <b/>
      <sz val="11"/>
      <color indexed="52"/>
      <name val="Calibri"/>
      <family val="2"/>
    </font>
    <font>
      <sz val="11"/>
      <color indexed="52"/>
      <name val="Calibri"/>
      <family val="2"/>
    </font>
    <font>
      <b/>
      <sz val="11"/>
      <color indexed="9"/>
      <name val="Calibri"/>
      <family val="2"/>
    </font>
    <font>
      <sz val="11"/>
      <color indexed="62"/>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20"/>
      <name val="Calibri"/>
      <family val="2"/>
    </font>
    <font>
      <sz val="11"/>
      <color indexed="17"/>
      <name val="Calibri"/>
      <family val="2"/>
    </font>
    <font>
      <sz val="10"/>
      <color indexed="63"/>
      <name val="Arial"/>
      <family val="2"/>
    </font>
    <font>
      <sz val="8"/>
      <color indexed="10"/>
      <name val="Arial"/>
      <family val="2"/>
    </font>
    <font>
      <b/>
      <sz val="10"/>
      <color indexed="12"/>
      <name val="Arial"/>
      <family val="2"/>
    </font>
    <font>
      <sz val="8"/>
      <color indexed="12"/>
      <name val="Arial"/>
      <family val="2"/>
    </font>
    <font>
      <b/>
      <strike/>
      <sz val="10"/>
      <name val="Arial"/>
      <family val="2"/>
    </font>
    <font>
      <strike/>
      <sz val="10"/>
      <name val="Arial"/>
      <family val="2"/>
    </font>
    <font>
      <sz val="9"/>
      <color indexed="81"/>
      <name val="Segoe UI"/>
      <family val="2"/>
    </font>
    <font>
      <b/>
      <sz val="9"/>
      <color indexed="81"/>
      <name val="Segoe UI"/>
      <family val="2"/>
    </font>
    <font>
      <sz val="24"/>
      <name val="Arial"/>
      <family val="2"/>
    </font>
    <font>
      <b/>
      <sz val="10"/>
      <color theme="0"/>
      <name val="Arial"/>
      <family val="2"/>
    </font>
    <font>
      <b/>
      <sz val="10"/>
      <color rgb="FFFF0000"/>
      <name val="Arial"/>
      <family val="2"/>
    </font>
    <font>
      <sz val="10"/>
      <color theme="2" tint="-0.499984740745262"/>
      <name val="Arial"/>
      <family val="2"/>
    </font>
    <font>
      <sz val="8"/>
      <color rgb="FF000000"/>
      <name val="Tahoma"/>
      <family val="2"/>
    </font>
    <font>
      <sz val="10"/>
      <color indexed="12"/>
      <name val="Arial"/>
      <family val="2"/>
    </font>
    <font>
      <sz val="9"/>
      <name val="Arial"/>
      <family val="2"/>
    </font>
    <font>
      <b/>
      <i/>
      <sz val="9"/>
      <name val="Arial"/>
      <family val="2"/>
    </font>
    <font>
      <i/>
      <sz val="8"/>
      <color indexed="81"/>
      <name val="Tahoma"/>
      <family val="2"/>
    </font>
    <font>
      <b/>
      <i/>
      <sz val="8"/>
      <color indexed="81"/>
      <name val="Tahoma"/>
      <family val="2"/>
    </font>
    <font>
      <sz val="8"/>
      <color indexed="81"/>
      <name val="time"/>
    </font>
    <font>
      <b/>
      <sz val="8"/>
      <color indexed="81"/>
      <name val="time"/>
    </font>
    <font>
      <strike/>
      <sz val="10"/>
      <color indexed="63"/>
      <name val="Arial"/>
      <family val="2"/>
    </font>
  </fonts>
  <fills count="30">
    <fill>
      <patternFill patternType="none"/>
    </fill>
    <fill>
      <patternFill patternType="gray125"/>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2"/>
      </patternFill>
    </fill>
    <fill>
      <patternFill patternType="solid">
        <fgColor indexed="44"/>
      </patternFill>
    </fill>
    <fill>
      <patternFill patternType="solid">
        <fgColor indexed="8"/>
      </patternFill>
    </fill>
    <fill>
      <patternFill patternType="solid">
        <fgColor indexed="43"/>
      </patternFill>
    </fill>
    <fill>
      <patternFill patternType="solid">
        <fgColor indexed="29"/>
      </patternFill>
    </fill>
    <fill>
      <patternFill patternType="solid">
        <fgColor indexed="49"/>
      </patternFill>
    </fill>
    <fill>
      <patternFill patternType="solid">
        <fgColor indexed="57"/>
      </patternFill>
    </fill>
    <fill>
      <patternFill patternType="solid">
        <fgColor indexed="22"/>
      </patternFill>
    </fill>
    <fill>
      <patternFill patternType="solid">
        <fgColor indexed="53"/>
      </patternFill>
    </fill>
    <fill>
      <patternFill patternType="solid">
        <fgColor indexed="55"/>
      </patternFill>
    </fill>
    <fill>
      <patternFill patternType="solid">
        <fgColor indexed="10"/>
      </patternFill>
    </fill>
    <fill>
      <patternFill patternType="solid">
        <fgColor indexed="54"/>
      </patternFill>
    </fill>
    <fill>
      <patternFill patternType="solid">
        <fgColor indexed="45"/>
      </patternFill>
    </fill>
    <fill>
      <patternFill patternType="solid">
        <fgColor indexed="43"/>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indexed="8"/>
        <bgColor indexed="64"/>
      </patternFill>
    </fill>
    <fill>
      <patternFill patternType="solid">
        <fgColor indexed="9"/>
        <bgColor indexed="64"/>
      </patternFill>
    </fill>
    <fill>
      <patternFill patternType="solid">
        <fgColor indexed="42"/>
        <bgColor indexed="64"/>
      </patternFill>
    </fill>
    <fill>
      <patternFill patternType="solid">
        <fgColor theme="4"/>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9" tint="0.59999389629810485"/>
        <bgColor indexed="64"/>
      </patternFill>
    </fill>
  </fills>
  <borders count="90">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style="thin">
        <color indexed="49"/>
      </top>
      <bottom style="double">
        <color indexed="49"/>
      </bottom>
      <diagonal/>
    </border>
    <border>
      <left style="thin">
        <color indexed="22"/>
      </left>
      <right style="thin">
        <color indexed="22"/>
      </right>
      <top style="thin">
        <color indexed="22"/>
      </top>
      <bottom style="thin">
        <color indexed="2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thin">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top style="hair">
        <color indexed="64"/>
      </top>
      <bottom style="hair">
        <color indexed="64"/>
      </bottom>
      <diagonal/>
    </border>
    <border>
      <left style="medium">
        <color indexed="64"/>
      </left>
      <right/>
      <top style="hair">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diagonal/>
    </border>
    <border>
      <left style="thin">
        <color indexed="64"/>
      </left>
      <right style="thin">
        <color indexed="64"/>
      </right>
      <top style="hair">
        <color indexed="64"/>
      </top>
      <bottom/>
      <diagonal/>
    </border>
    <border>
      <left style="hair">
        <color indexed="64"/>
      </left>
      <right style="thin">
        <color indexed="64"/>
      </right>
      <top style="hair">
        <color indexed="64"/>
      </top>
      <bottom/>
      <diagonal/>
    </border>
    <border>
      <left style="medium">
        <color indexed="64"/>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medium">
        <color indexed="64"/>
      </top>
      <bottom style="thin">
        <color indexed="64"/>
      </bottom>
      <diagonal/>
    </border>
    <border>
      <left/>
      <right/>
      <top/>
      <bottom style="hair">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s>
  <cellStyleXfs count="44">
    <xf numFmtId="0" fontId="0" fillId="0" borderId="0"/>
    <xf numFmtId="0" fontId="38" fillId="4" borderId="0" applyNumberFormat="0" applyBorder="0" applyAlignment="0" applyProtection="0"/>
    <xf numFmtId="0" fontId="38" fillId="3" borderId="0" applyNumberFormat="0" applyBorder="0" applyAlignment="0" applyProtection="0"/>
    <xf numFmtId="0" fontId="38" fillId="5" borderId="0" applyNumberFormat="0" applyBorder="0" applyAlignment="0" applyProtection="0"/>
    <xf numFmtId="0" fontId="38" fillId="4" borderId="0" applyNumberFormat="0" applyBorder="0" applyAlignment="0" applyProtection="0"/>
    <xf numFmtId="0" fontId="38" fillId="2" borderId="0" applyNumberFormat="0" applyBorder="0" applyAlignment="0" applyProtection="0"/>
    <xf numFmtId="0" fontId="38" fillId="3" borderId="0" applyNumberFormat="0" applyBorder="0" applyAlignment="0" applyProtection="0"/>
    <xf numFmtId="0" fontId="38" fillId="8" borderId="0" applyNumberFormat="0" applyBorder="0" applyAlignment="0" applyProtection="0"/>
    <xf numFmtId="0" fontId="38" fillId="10" borderId="0" applyNumberFormat="0" applyBorder="0" applyAlignment="0" applyProtection="0"/>
    <xf numFmtId="0" fontId="38" fillId="9" borderId="0" applyNumberFormat="0" applyBorder="0" applyAlignment="0" applyProtection="0"/>
    <xf numFmtId="0" fontId="38" fillId="8" borderId="0" applyNumberFormat="0" applyBorder="0" applyAlignment="0" applyProtection="0"/>
    <xf numFmtId="0" fontId="38" fillId="7" borderId="0" applyNumberFormat="0" applyBorder="0" applyAlignment="0" applyProtection="0"/>
    <xf numFmtId="0" fontId="38" fillId="3" borderId="0" applyNumberFormat="0" applyBorder="0" applyAlignment="0" applyProtection="0"/>
    <xf numFmtId="0" fontId="39" fillId="11" borderId="0" applyNumberFormat="0" applyBorder="0" applyAlignment="0" applyProtection="0"/>
    <xf numFmtId="0" fontId="39" fillId="10" borderId="0" applyNumberFormat="0" applyBorder="0" applyAlignment="0" applyProtection="0"/>
    <xf numFmtId="0" fontId="39" fillId="9" borderId="0" applyNumberFormat="0" applyBorder="0" applyAlignment="0" applyProtection="0"/>
    <xf numFmtId="0" fontId="39" fillId="13" borderId="0" applyNumberFormat="0" applyBorder="0" applyAlignment="0" applyProtection="0"/>
    <xf numFmtId="0" fontId="39" fillId="11" borderId="0" applyNumberFormat="0" applyBorder="0" applyAlignment="0" applyProtection="0"/>
    <xf numFmtId="0" fontId="39" fillId="3" borderId="0" applyNumberFormat="0" applyBorder="0" applyAlignment="0" applyProtection="0"/>
    <xf numFmtId="0" fontId="40" fillId="4" borderId="2" applyNumberFormat="0" applyAlignment="0" applyProtection="0"/>
    <xf numFmtId="0" fontId="41" fillId="0" borderId="3" applyNumberFormat="0" applyFill="0" applyAlignment="0" applyProtection="0"/>
    <xf numFmtId="0" fontId="42" fillId="15" borderId="4" applyNumberFormat="0" applyAlignment="0" applyProtection="0"/>
    <xf numFmtId="0" fontId="39" fillId="11" borderId="0" applyNumberFormat="0" applyBorder="0" applyAlignment="0" applyProtection="0"/>
    <xf numFmtId="0" fontId="39" fillId="16" borderId="0" applyNumberFormat="0" applyBorder="0" applyAlignment="0" applyProtection="0"/>
    <xf numFmtId="0" fontId="39" fillId="12" borderId="0" applyNumberFormat="0" applyBorder="0" applyAlignment="0" applyProtection="0"/>
    <xf numFmtId="0" fontId="39" fillId="17" borderId="0" applyNumberFormat="0" applyBorder="0" applyAlignment="0" applyProtection="0"/>
    <xf numFmtId="0" fontId="39" fillId="11" borderId="0" applyNumberFormat="0" applyBorder="0" applyAlignment="0" applyProtection="0"/>
    <xf numFmtId="0" fontId="39" fillId="14" borderId="0" applyNumberFormat="0" applyBorder="0" applyAlignment="0" applyProtection="0"/>
    <xf numFmtId="0" fontId="43" fillId="3" borderId="2" applyNumberFormat="0" applyAlignment="0" applyProtection="0"/>
    <xf numFmtId="0" fontId="2" fillId="0" borderId="0" applyNumberFormat="0" applyFill="0" applyBorder="0" applyAlignment="0" applyProtection="0">
      <alignment vertical="top"/>
      <protection locked="0"/>
    </xf>
    <xf numFmtId="0" fontId="44" fillId="9" borderId="0" applyNumberFormat="0" applyBorder="0" applyAlignment="0" applyProtection="0"/>
    <xf numFmtId="0" fontId="1" fillId="5" borderId="6" applyNumberFormat="0" applyFont="0" applyAlignment="0" applyProtection="0"/>
    <xf numFmtId="0" fontId="45" fillId="4" borderId="1" applyNumberFormat="0" applyAlignment="0" applyProtection="0"/>
    <xf numFmtId="0" fontId="3" fillId="0" borderId="0"/>
    <xf numFmtId="0" fontId="46"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9" fillId="0" borderId="7" applyNumberFormat="0" applyFill="0" applyAlignment="0" applyProtection="0"/>
    <xf numFmtId="0" fontId="50" fillId="0" borderId="8" applyNumberFormat="0" applyFill="0" applyAlignment="0" applyProtection="0"/>
    <xf numFmtId="0" fontId="51" fillId="0" borderId="9" applyNumberFormat="0" applyFill="0" applyAlignment="0" applyProtection="0"/>
    <xf numFmtId="0" fontId="51" fillId="0" borderId="0" applyNumberFormat="0" applyFill="0" applyBorder="0" applyAlignment="0" applyProtection="0"/>
    <xf numFmtId="0" fontId="45" fillId="0" borderId="5" applyNumberFormat="0" applyFill="0" applyAlignment="0" applyProtection="0"/>
    <xf numFmtId="0" fontId="52" fillId="18" borderId="0" applyNumberFormat="0" applyBorder="0" applyAlignment="0" applyProtection="0"/>
    <xf numFmtId="0" fontId="53" fillId="6" borderId="0" applyNumberFormat="0" applyBorder="0" applyAlignment="0" applyProtection="0"/>
  </cellStyleXfs>
  <cellXfs count="440">
    <xf numFmtId="0" fontId="0" fillId="0" borderId="0" xfId="0"/>
    <xf numFmtId="0" fontId="5" fillId="0" borderId="10" xfId="0" applyFont="1" applyBorder="1" applyAlignment="1">
      <alignment horizontal="left"/>
    </xf>
    <xf numFmtId="0" fontId="5" fillId="0" borderId="11" xfId="0" applyFont="1" applyBorder="1" applyAlignment="1">
      <alignment horizontal="left"/>
    </xf>
    <xf numFmtId="0" fontId="6" fillId="0" borderId="12" xfId="0" applyFont="1" applyBorder="1" applyAlignment="1">
      <alignment horizontal="left"/>
    </xf>
    <xf numFmtId="0" fontId="6" fillId="0" borderId="10" xfId="0" applyFont="1" applyBorder="1" applyAlignment="1">
      <alignment horizontal="left"/>
    </xf>
    <xf numFmtId="0" fontId="6" fillId="0" borderId="11" xfId="0" applyFont="1" applyBorder="1" applyAlignment="1">
      <alignment horizontal="left"/>
    </xf>
    <xf numFmtId="0" fontId="0" fillId="0" borderId="0" xfId="0" applyAlignment="1">
      <alignment horizontal="left"/>
    </xf>
    <xf numFmtId="0" fontId="7" fillId="0" borderId="13" xfId="0" applyFont="1" applyBorder="1" applyAlignment="1">
      <alignment horizontal="left"/>
    </xf>
    <xf numFmtId="0" fontId="6" fillId="0" borderId="14" xfId="0" applyFont="1" applyBorder="1" applyAlignment="1">
      <alignment horizontal="left"/>
    </xf>
    <xf numFmtId="0" fontId="7" fillId="0" borderId="15" xfId="0" applyFont="1" applyBorder="1" applyAlignment="1">
      <alignment horizontal="left"/>
    </xf>
    <xf numFmtId="0" fontId="6" fillId="0" borderId="16" xfId="0" applyFont="1" applyBorder="1" applyAlignment="1">
      <alignment horizontal="left"/>
    </xf>
    <xf numFmtId="0" fontId="6" fillId="0" borderId="0" xfId="0" applyFont="1" applyAlignment="1">
      <alignment horizontal="left"/>
    </xf>
    <xf numFmtId="0" fontId="8" fillId="0" borderId="0" xfId="0" applyFont="1" applyAlignment="1">
      <alignment horizontal="left"/>
    </xf>
    <xf numFmtId="0" fontId="0" fillId="0" borderId="0" xfId="0" applyAlignment="1">
      <alignment horizontal="right"/>
    </xf>
    <xf numFmtId="0" fontId="0" fillId="19" borderId="17" xfId="0" applyFill="1" applyBorder="1" applyAlignment="1">
      <alignment horizontal="left"/>
    </xf>
    <xf numFmtId="0" fontId="7" fillId="0" borderId="18" xfId="0" applyFont="1" applyBorder="1" applyAlignment="1">
      <alignment horizontal="center" vertical="center" wrapText="1"/>
    </xf>
    <xf numFmtId="0" fontId="0" fillId="0" borderId="0" xfId="0" applyAlignment="1">
      <alignment horizontal="center"/>
    </xf>
    <xf numFmtId="0" fontId="7" fillId="0" borderId="0" xfId="0" applyFont="1"/>
    <xf numFmtId="2" fontId="0" fillId="0" borderId="0" xfId="0" applyNumberFormat="1"/>
    <xf numFmtId="0" fontId="12" fillId="0" borderId="0" xfId="0" applyFont="1"/>
    <xf numFmtId="14" fontId="7" fillId="0" borderId="0" xfId="0" applyNumberFormat="1" applyFont="1"/>
    <xf numFmtId="2" fontId="13" fillId="0" borderId="0" xfId="0" applyNumberFormat="1" applyFont="1"/>
    <xf numFmtId="2" fontId="0" fillId="0" borderId="19" xfId="0" applyNumberFormat="1" applyBorder="1" applyAlignment="1">
      <alignment horizontal="center" vertical="center"/>
    </xf>
    <xf numFmtId="2" fontId="0" fillId="0" borderId="20" xfId="0" applyNumberFormat="1" applyBorder="1" applyAlignment="1">
      <alignment horizontal="center" vertical="center"/>
    </xf>
    <xf numFmtId="0" fontId="0" fillId="0" borderId="0" xfId="0" applyAlignment="1">
      <alignment vertical="center"/>
    </xf>
    <xf numFmtId="0" fontId="14" fillId="0" borderId="0" xfId="0" applyFont="1"/>
    <xf numFmtId="0" fontId="14" fillId="0" borderId="21" xfId="0" applyFont="1" applyBorder="1" applyAlignment="1">
      <alignment horizontal="center"/>
    </xf>
    <xf numFmtId="0" fontId="14" fillId="0" borderId="22" xfId="0" applyFont="1" applyBorder="1" applyAlignment="1">
      <alignment horizontal="center"/>
    </xf>
    <xf numFmtId="0" fontId="14" fillId="0" borderId="0" xfId="0" applyFont="1" applyAlignment="1">
      <alignment horizontal="center"/>
    </xf>
    <xf numFmtId="2" fontId="14" fillId="0" borderId="0" xfId="0" applyNumberFormat="1" applyFont="1" applyAlignment="1">
      <alignment horizontal="center"/>
    </xf>
    <xf numFmtId="0" fontId="10" fillId="0" borderId="18" xfId="0" applyFont="1" applyBorder="1"/>
    <xf numFmtId="0" fontId="10" fillId="0" borderId="18" xfId="0" applyFont="1" applyBorder="1" applyAlignment="1">
      <alignment horizontal="center"/>
    </xf>
    <xf numFmtId="2" fontId="10" fillId="0" borderId="18" xfId="0" applyNumberFormat="1" applyFont="1" applyBorder="1" applyAlignment="1">
      <alignment horizontal="center"/>
    </xf>
    <xf numFmtId="164" fontId="10" fillId="0" borderId="18" xfId="0" applyNumberFormat="1" applyFont="1" applyBorder="1" applyAlignment="1">
      <alignment horizontal="center"/>
    </xf>
    <xf numFmtId="0" fontId="16" fillId="0" borderId="15" xfId="0" applyFont="1" applyBorder="1"/>
    <xf numFmtId="0" fontId="7" fillId="0" borderId="23" xfId="0" applyFont="1" applyBorder="1" applyAlignment="1">
      <alignment horizontal="right"/>
    </xf>
    <xf numFmtId="0" fontId="7" fillId="20" borderId="24" xfId="0" applyFont="1" applyFill="1" applyBorder="1" applyAlignment="1">
      <alignment wrapText="1"/>
    </xf>
    <xf numFmtId="0" fontId="11" fillId="0" borderId="0" xfId="0" applyFont="1"/>
    <xf numFmtId="0" fontId="0" fillId="0" borderId="0" xfId="0" applyProtection="1">
      <protection locked="0"/>
    </xf>
    <xf numFmtId="0" fontId="7" fillId="0" borderId="0" xfId="0" applyFont="1" applyProtection="1">
      <protection locked="0"/>
    </xf>
    <xf numFmtId="0" fontId="7" fillId="21" borderId="25" xfId="0" applyFont="1" applyFill="1" applyBorder="1" applyProtection="1">
      <protection locked="0"/>
    </xf>
    <xf numFmtId="0" fontId="7" fillId="21" borderId="26" xfId="0" applyFont="1" applyFill="1" applyBorder="1" applyProtection="1">
      <protection locked="0"/>
    </xf>
    <xf numFmtId="0" fontId="0" fillId="0" borderId="27" xfId="0" applyBorder="1" applyProtection="1">
      <protection locked="0"/>
    </xf>
    <xf numFmtId="0" fontId="9" fillId="0" borderId="0" xfId="0" applyFont="1"/>
    <xf numFmtId="0" fontId="10" fillId="0" borderId="0" xfId="0" applyFont="1" applyAlignment="1">
      <alignment horizontal="left"/>
    </xf>
    <xf numFmtId="0" fontId="10" fillId="0" borderId="0" xfId="0" applyFont="1"/>
    <xf numFmtId="164" fontId="7" fillId="21" borderId="24" xfId="0" applyNumberFormat="1" applyFont="1" applyFill="1" applyBorder="1" applyAlignment="1">
      <alignment horizontal="center"/>
    </xf>
    <xf numFmtId="164" fontId="11" fillId="0" borderId="28" xfId="0" applyNumberFormat="1" applyFont="1" applyBorder="1" applyAlignment="1">
      <alignment horizontal="center"/>
    </xf>
    <xf numFmtId="164" fontId="10" fillId="0" borderId="29" xfId="0" applyNumberFormat="1" applyFont="1" applyBorder="1" applyAlignment="1">
      <alignment horizontal="center" textRotation="90"/>
    </xf>
    <xf numFmtId="164" fontId="10" fillId="0" borderId="30" xfId="0" applyNumberFormat="1" applyFont="1" applyBorder="1" applyAlignment="1">
      <alignment horizontal="center" wrapText="1"/>
    </xf>
    <xf numFmtId="2" fontId="10" fillId="0" borderId="30" xfId="0" applyNumberFormat="1" applyFont="1" applyBorder="1" applyAlignment="1">
      <alignment horizontal="center" textRotation="90" wrapText="1"/>
    </xf>
    <xf numFmtId="2" fontId="10" fillId="0" borderId="31" xfId="0" applyNumberFormat="1" applyFont="1" applyBorder="1" applyAlignment="1">
      <alignment horizontal="center" textRotation="90" wrapText="1"/>
    </xf>
    <xf numFmtId="164" fontId="10" fillId="0" borderId="32" xfId="0" applyNumberFormat="1" applyFont="1" applyBorder="1" applyAlignment="1">
      <alignment horizontal="center" wrapText="1"/>
    </xf>
    <xf numFmtId="165" fontId="0" fillId="0" borderId="0" xfId="0" applyNumberFormat="1"/>
    <xf numFmtId="9" fontId="0" fillId="0" borderId="0" xfId="0" applyNumberFormat="1"/>
    <xf numFmtId="166" fontId="0" fillId="0" borderId="0" xfId="0" applyNumberFormat="1"/>
    <xf numFmtId="164" fontId="0" fillId="19" borderId="33" xfId="0" applyNumberFormat="1" applyFill="1" applyBorder="1" applyAlignment="1">
      <alignment horizontal="center"/>
    </xf>
    <xf numFmtId="164" fontId="0" fillId="19" borderId="34" xfId="0" applyNumberFormat="1" applyFill="1" applyBorder="1" applyAlignment="1">
      <alignment horizontal="center"/>
    </xf>
    <xf numFmtId="164" fontId="7" fillId="19" borderId="0" xfId="0" applyNumberFormat="1" applyFont="1" applyFill="1" applyAlignment="1">
      <alignment horizontal="left"/>
    </xf>
    <xf numFmtId="164" fontId="7" fillId="19" borderId="0" xfId="0" applyNumberFormat="1" applyFont="1" applyFill="1"/>
    <xf numFmtId="164" fontId="0" fillId="0" borderId="35" xfId="0" applyNumberFormat="1" applyBorder="1" applyAlignment="1">
      <alignment horizontal="center"/>
    </xf>
    <xf numFmtId="0" fontId="7" fillId="21" borderId="10" xfId="0" applyFont="1" applyFill="1" applyBorder="1" applyAlignment="1">
      <alignment horizontal="center"/>
    </xf>
    <xf numFmtId="0" fontId="7" fillId="21" borderId="11" xfId="0" applyFont="1" applyFill="1" applyBorder="1" applyAlignment="1">
      <alignment horizontal="center"/>
    </xf>
    <xf numFmtId="0" fontId="7" fillId="21" borderId="36" xfId="0" applyFont="1" applyFill="1" applyBorder="1" applyAlignment="1">
      <alignment horizontal="center"/>
    </xf>
    <xf numFmtId="164" fontId="0" fillId="21" borderId="37" xfId="0" applyNumberFormat="1" applyFill="1" applyBorder="1" applyAlignment="1">
      <alignment horizontal="center"/>
    </xf>
    <xf numFmtId="164" fontId="0" fillId="21" borderId="0" xfId="0" applyNumberFormat="1" applyFill="1" applyAlignment="1">
      <alignment horizontal="center"/>
    </xf>
    <xf numFmtId="164" fontId="7" fillId="21" borderId="27" xfId="0" applyNumberFormat="1" applyFont="1" applyFill="1" applyBorder="1" applyAlignment="1">
      <alignment horizontal="center"/>
    </xf>
    <xf numFmtId="0" fontId="0" fillId="0" borderId="0" xfId="0" applyAlignment="1" applyProtection="1">
      <alignment horizontal="center"/>
      <protection locked="0"/>
    </xf>
    <xf numFmtId="0" fontId="7" fillId="22" borderId="25" xfId="0" applyFont="1" applyFill="1" applyBorder="1" applyProtection="1">
      <protection locked="0"/>
    </xf>
    <xf numFmtId="0" fontId="7" fillId="22" borderId="38" xfId="0" applyFont="1" applyFill="1" applyBorder="1" applyAlignment="1" applyProtection="1">
      <alignment horizontal="right"/>
      <protection locked="0"/>
    </xf>
    <xf numFmtId="0" fontId="0" fillId="22" borderId="39" xfId="0" applyFill="1" applyBorder="1" applyAlignment="1" applyProtection="1">
      <alignment horizontal="center"/>
      <protection locked="0"/>
    </xf>
    <xf numFmtId="0" fontId="7" fillId="22" borderId="28" xfId="0" applyFont="1" applyFill="1" applyBorder="1" applyProtection="1">
      <protection locked="0"/>
    </xf>
    <xf numFmtId="0" fontId="7" fillId="22" borderId="37" xfId="0" applyFont="1" applyFill="1" applyBorder="1" applyProtection="1">
      <protection locked="0"/>
    </xf>
    <xf numFmtId="0" fontId="7" fillId="22" borderId="37" xfId="0" applyFont="1" applyFill="1" applyBorder="1" applyAlignment="1" applyProtection="1">
      <alignment horizontal="center"/>
      <protection locked="0"/>
    </xf>
    <xf numFmtId="0" fontId="7" fillId="22" borderId="40" xfId="0" applyFont="1" applyFill="1" applyBorder="1" applyAlignment="1" applyProtection="1">
      <alignment horizontal="center"/>
      <protection locked="0"/>
    </xf>
    <xf numFmtId="0" fontId="7" fillId="22" borderId="41" xfId="0" applyFont="1" applyFill="1" applyBorder="1" applyAlignment="1" applyProtection="1">
      <alignment horizontal="center"/>
      <protection locked="0"/>
    </xf>
    <xf numFmtId="0" fontId="0" fillId="0" borderId="41" xfId="0" applyBorder="1" applyAlignment="1" applyProtection="1">
      <alignment horizontal="center"/>
      <protection locked="0"/>
    </xf>
    <xf numFmtId="0" fontId="7" fillId="22" borderId="10" xfId="0" applyFont="1" applyFill="1" applyBorder="1" applyProtection="1">
      <protection locked="0"/>
    </xf>
    <xf numFmtId="0" fontId="7" fillId="22" borderId="26" xfId="0" applyFont="1" applyFill="1" applyBorder="1" applyProtection="1">
      <protection locked="0"/>
    </xf>
    <xf numFmtId="0" fontId="7" fillId="22" borderId="15" xfId="0" applyFont="1" applyFill="1" applyBorder="1" applyProtection="1">
      <protection locked="0"/>
    </xf>
    <xf numFmtId="0" fontId="7" fillId="22" borderId="42" xfId="0" applyFont="1" applyFill="1" applyBorder="1" applyAlignment="1" applyProtection="1">
      <alignment horizontal="center"/>
      <protection locked="0"/>
    </xf>
    <xf numFmtId="0" fontId="0" fillId="0" borderId="42" xfId="0" applyBorder="1" applyAlignment="1" applyProtection="1">
      <alignment horizontal="center"/>
      <protection locked="0"/>
    </xf>
    <xf numFmtId="0" fontId="7" fillId="22" borderId="43" xfId="0" applyFont="1" applyFill="1" applyBorder="1" applyAlignment="1" applyProtection="1">
      <alignment horizontal="center"/>
      <protection locked="0"/>
    </xf>
    <xf numFmtId="0" fontId="7" fillId="22" borderId="44" xfId="0" applyFont="1" applyFill="1" applyBorder="1" applyProtection="1">
      <protection locked="0"/>
    </xf>
    <xf numFmtId="0" fontId="7" fillId="22" borderId="15" xfId="0" applyFont="1" applyFill="1" applyBorder="1" applyAlignment="1" applyProtection="1">
      <alignment horizontal="center"/>
      <protection locked="0"/>
    </xf>
    <xf numFmtId="0" fontId="7" fillId="22" borderId="31" xfId="0" applyFont="1" applyFill="1" applyBorder="1" applyAlignment="1" applyProtection="1">
      <alignment horizontal="center"/>
      <protection locked="0"/>
    </xf>
    <xf numFmtId="0" fontId="7" fillId="22" borderId="45" xfId="0" applyFont="1" applyFill="1" applyBorder="1" applyProtection="1">
      <protection locked="0"/>
    </xf>
    <xf numFmtId="166" fontId="10" fillId="0" borderId="30" xfId="0" applyNumberFormat="1" applyFont="1" applyBorder="1" applyAlignment="1" applyProtection="1">
      <alignment horizontal="center" vertical="center" textRotation="90" wrapText="1"/>
      <protection locked="0"/>
    </xf>
    <xf numFmtId="0" fontId="0" fillId="0" borderId="0" xfId="0" applyAlignment="1" applyProtection="1">
      <alignment wrapText="1"/>
      <protection locked="0"/>
    </xf>
    <xf numFmtId="164" fontId="10" fillId="0" borderId="46" xfId="0" applyNumberFormat="1" applyFont="1" applyBorder="1" applyAlignment="1" applyProtection="1">
      <alignment horizontal="justify"/>
      <protection locked="0"/>
    </xf>
    <xf numFmtId="165" fontId="10" fillId="0" borderId="46" xfId="0" applyNumberFormat="1" applyFont="1" applyBorder="1" applyAlignment="1" applyProtection="1">
      <alignment horizontal="justify"/>
      <protection locked="0"/>
    </xf>
    <xf numFmtId="0" fontId="7" fillId="20" borderId="24" xfId="0" applyFont="1" applyFill="1" applyBorder="1"/>
    <xf numFmtId="0" fontId="1" fillId="0" borderId="0" xfId="0" applyFont="1" applyAlignment="1">
      <alignment vertical="top"/>
    </xf>
    <xf numFmtId="0" fontId="1" fillId="0" borderId="0" xfId="0" applyFont="1" applyAlignment="1">
      <alignment vertical="top" wrapText="1"/>
    </xf>
    <xf numFmtId="0" fontId="0" fillId="0" borderId="0" xfId="0" applyAlignment="1">
      <alignment wrapText="1"/>
    </xf>
    <xf numFmtId="0" fontId="7" fillId="0" borderId="0" xfId="0" applyFont="1" applyAlignment="1">
      <alignment wrapText="1"/>
    </xf>
    <xf numFmtId="2" fontId="10" fillId="19" borderId="0" xfId="0" applyNumberFormat="1" applyFont="1" applyFill="1" applyAlignment="1">
      <alignment horizontal="center"/>
    </xf>
    <xf numFmtId="0" fontId="10" fillId="19" borderId="0" xfId="0" applyFont="1" applyFill="1" applyAlignment="1">
      <alignment horizontal="center"/>
    </xf>
    <xf numFmtId="2" fontId="10" fillId="19" borderId="0" xfId="0" applyNumberFormat="1" applyFont="1" applyFill="1"/>
    <xf numFmtId="0" fontId="6" fillId="19" borderId="14" xfId="0" applyFont="1" applyFill="1" applyBorder="1" applyAlignment="1">
      <alignment horizontal="left"/>
    </xf>
    <xf numFmtId="0" fontId="6" fillId="19" borderId="11" xfId="0" applyFont="1" applyFill="1" applyBorder="1" applyAlignment="1">
      <alignment horizontal="left"/>
    </xf>
    <xf numFmtId="0" fontId="6" fillId="0" borderId="13" xfId="0" applyFont="1" applyBorder="1" applyAlignment="1">
      <alignment horizontal="left"/>
    </xf>
    <xf numFmtId="0" fontId="6" fillId="19" borderId="16" xfId="0" applyFont="1" applyFill="1" applyBorder="1" applyAlignment="1">
      <alignment horizontal="left"/>
    </xf>
    <xf numFmtId="0" fontId="0" fillId="19" borderId="12" xfId="0" applyFill="1" applyBorder="1" applyAlignment="1">
      <alignment horizontal="left"/>
    </xf>
    <xf numFmtId="0" fontId="9" fillId="0" borderId="0" xfId="0" applyFont="1" applyAlignment="1">
      <alignment horizontal="left"/>
    </xf>
    <xf numFmtId="0" fontId="7" fillId="0" borderId="0" xfId="0" applyFont="1" applyAlignment="1">
      <alignment horizontal="right" wrapText="1"/>
    </xf>
    <xf numFmtId="0" fontId="7" fillId="0" borderId="0" xfId="0" applyFont="1" applyAlignment="1">
      <alignment horizontal="right"/>
    </xf>
    <xf numFmtId="0" fontId="10" fillId="0" borderId="0" xfId="0" applyFont="1" applyAlignment="1">
      <alignment horizontal="center"/>
    </xf>
    <xf numFmtId="0" fontId="19" fillId="0" borderId="13" xfId="0" applyFont="1" applyBorder="1"/>
    <xf numFmtId="0" fontId="19" fillId="0" borderId="47" xfId="0" applyFont="1" applyBorder="1"/>
    <xf numFmtId="0" fontId="7" fillId="0" borderId="17" xfId="0" applyFont="1" applyBorder="1"/>
    <xf numFmtId="0" fontId="7" fillId="0" borderId="48" xfId="0" applyFont="1" applyBorder="1"/>
    <xf numFmtId="0" fontId="7" fillId="0" borderId="49" xfId="0" applyFont="1" applyBorder="1"/>
    <xf numFmtId="0" fontId="7" fillId="0" borderId="50" xfId="0" applyFont="1" applyBorder="1"/>
    <xf numFmtId="0" fontId="0" fillId="0" borderId="50" xfId="0" quotePrefix="1" applyBorder="1"/>
    <xf numFmtId="0" fontId="0" fillId="0" borderId="50" xfId="0" applyBorder="1"/>
    <xf numFmtId="0" fontId="7" fillId="0" borderId="17" xfId="0" applyFont="1" applyBorder="1" applyAlignment="1">
      <alignment horizontal="justify"/>
    </xf>
    <xf numFmtId="0" fontId="0" fillId="0" borderId="0" xfId="0" applyAlignment="1">
      <alignment horizontal="justify"/>
    </xf>
    <xf numFmtId="0" fontId="0" fillId="0" borderId="51" xfId="0" applyBorder="1" applyProtection="1">
      <protection locked="0"/>
    </xf>
    <xf numFmtId="0" fontId="0" fillId="0" borderId="46" xfId="0" applyBorder="1" applyProtection="1">
      <protection locked="0"/>
    </xf>
    <xf numFmtId="0" fontId="0" fillId="0" borderId="52" xfId="0" applyBorder="1" applyProtection="1">
      <protection locked="0"/>
    </xf>
    <xf numFmtId="164" fontId="0" fillId="0" borderId="0" xfId="0" applyNumberFormat="1" applyProtection="1">
      <protection locked="0"/>
    </xf>
    <xf numFmtId="0" fontId="1" fillId="0" borderId="53" xfId="0" applyFont="1" applyBorder="1" applyProtection="1">
      <protection locked="0"/>
    </xf>
    <xf numFmtId="0" fontId="1" fillId="0" borderId="0" xfId="0" applyFont="1" applyProtection="1">
      <protection locked="0"/>
    </xf>
    <xf numFmtId="0" fontId="11" fillId="0" borderId="0" xfId="0" applyFont="1" applyProtection="1">
      <protection locked="0"/>
    </xf>
    <xf numFmtId="9" fontId="0" fillId="0" borderId="11" xfId="0" applyNumberFormat="1" applyBorder="1"/>
    <xf numFmtId="0" fontId="19" fillId="0" borderId="54" xfId="0" applyFont="1" applyBorder="1"/>
    <xf numFmtId="0" fontId="7" fillId="0" borderId="17" xfId="0" applyFont="1" applyBorder="1" applyAlignment="1">
      <alignment wrapText="1"/>
    </xf>
    <xf numFmtId="0" fontId="0" fillId="20" borderId="0" xfId="0" applyFill="1" applyAlignment="1">
      <alignment wrapText="1"/>
    </xf>
    <xf numFmtId="164" fontId="10" fillId="0" borderId="30" xfId="0" applyNumberFormat="1" applyFont="1" applyBorder="1" applyAlignment="1" applyProtection="1">
      <alignment horizontal="center" vertical="center" textRotation="90" wrapText="1"/>
      <protection locked="0"/>
    </xf>
    <xf numFmtId="165" fontId="10" fillId="0" borderId="30" xfId="0" applyNumberFormat="1" applyFont="1" applyBorder="1" applyAlignment="1" applyProtection="1">
      <alignment horizontal="center" vertical="center" textRotation="90" wrapText="1"/>
      <protection locked="0"/>
    </xf>
    <xf numFmtId="9" fontId="10" fillId="0" borderId="32" xfId="0" applyNumberFormat="1" applyFont="1" applyBorder="1" applyAlignment="1" applyProtection="1">
      <alignment horizontal="center" vertical="center" textRotation="90" wrapText="1"/>
      <protection locked="0"/>
    </xf>
    <xf numFmtId="165" fontId="10" fillId="0" borderId="53" xfId="0" applyNumberFormat="1" applyFont="1" applyBorder="1" applyAlignment="1" applyProtection="1">
      <alignment horizontal="justify" wrapText="1"/>
      <protection locked="0"/>
    </xf>
    <xf numFmtId="165" fontId="0" fillId="0" borderId="0" xfId="0" applyNumberFormat="1" applyAlignment="1" applyProtection="1">
      <alignment wrapText="1"/>
      <protection locked="0"/>
    </xf>
    <xf numFmtId="9" fontId="0" fillId="0" borderId="49" xfId="0" applyNumberFormat="1" applyBorder="1"/>
    <xf numFmtId="166" fontId="18" fillId="0" borderId="55" xfId="0" applyNumberFormat="1" applyFont="1" applyBorder="1"/>
    <xf numFmtId="165" fontId="7" fillId="0" borderId="11" xfId="0" applyNumberFormat="1" applyFont="1" applyBorder="1"/>
    <xf numFmtId="9" fontId="7" fillId="0" borderId="11" xfId="0" applyNumberFormat="1" applyFont="1" applyBorder="1"/>
    <xf numFmtId="0" fontId="7" fillId="0" borderId="11" xfId="0" applyFont="1" applyBorder="1"/>
    <xf numFmtId="0" fontId="7" fillId="19" borderId="49" xfId="0" applyFont="1" applyFill="1" applyBorder="1"/>
    <xf numFmtId="0" fontId="0" fillId="19" borderId="0" xfId="0" applyFill="1" applyAlignment="1">
      <alignment horizontal="justify"/>
    </xf>
    <xf numFmtId="165" fontId="10" fillId="0" borderId="32" xfId="0" applyNumberFormat="1" applyFont="1" applyBorder="1" applyAlignment="1">
      <alignment horizontal="center" wrapText="1"/>
    </xf>
    <xf numFmtId="164" fontId="10" fillId="0" borderId="45" xfId="0" applyNumberFormat="1" applyFont="1" applyBorder="1" applyAlignment="1">
      <alignment horizontal="center" wrapText="1"/>
    </xf>
    <xf numFmtId="166" fontId="0" fillId="0" borderId="55" xfId="0" applyNumberFormat="1" applyBorder="1"/>
    <xf numFmtId="166" fontId="0" fillId="0" borderId="16" xfId="0" applyNumberFormat="1" applyBorder="1"/>
    <xf numFmtId="166" fontId="7" fillId="0" borderId="0" xfId="0" applyNumberFormat="1" applyFont="1"/>
    <xf numFmtId="0" fontId="11" fillId="0" borderId="0" xfId="0" applyFont="1" applyAlignment="1">
      <alignment wrapText="1"/>
    </xf>
    <xf numFmtId="0" fontId="0" fillId="19" borderId="25" xfId="0" applyFill="1" applyBorder="1" applyAlignment="1" applyProtection="1">
      <alignment vertical="top" wrapText="1"/>
      <protection locked="0"/>
    </xf>
    <xf numFmtId="0" fontId="0" fillId="23" borderId="41" xfId="0" applyFill="1" applyBorder="1" applyAlignment="1">
      <alignment vertical="top"/>
    </xf>
    <xf numFmtId="0" fontId="7" fillId="0" borderId="10" xfId="0" applyFont="1" applyBorder="1"/>
    <xf numFmtId="0" fontId="7" fillId="0" borderId="52" xfId="0" applyFont="1" applyBorder="1"/>
    <xf numFmtId="164" fontId="7" fillId="0" borderId="11" xfId="0" applyNumberFormat="1" applyFont="1" applyBorder="1"/>
    <xf numFmtId="165" fontId="7" fillId="0" borderId="52" xfId="0" applyNumberFormat="1" applyFont="1" applyBorder="1" applyAlignment="1">
      <alignment horizontal="left"/>
    </xf>
    <xf numFmtId="0" fontId="7" fillId="0" borderId="11" xfId="0" applyFont="1" applyBorder="1" applyAlignment="1">
      <alignment horizontal="center"/>
    </xf>
    <xf numFmtId="0" fontId="7" fillId="0" borderId="36" xfId="0" applyFont="1" applyBorder="1" applyAlignment="1">
      <alignment wrapText="1"/>
    </xf>
    <xf numFmtId="0" fontId="0" fillId="0" borderId="15" xfId="0" applyBorder="1"/>
    <xf numFmtId="0" fontId="7" fillId="0" borderId="16" xfId="0" applyFont="1" applyBorder="1" applyAlignment="1">
      <alignment horizontal="left"/>
    </xf>
    <xf numFmtId="0" fontId="0" fillId="0" borderId="32" xfId="0" applyBorder="1"/>
    <xf numFmtId="0" fontId="7" fillId="0" borderId="45" xfId="0" applyFont="1" applyBorder="1" applyAlignment="1">
      <alignment horizontal="left"/>
    </xf>
    <xf numFmtId="0" fontId="7" fillId="0" borderId="31" xfId="0" applyFont="1" applyBorder="1" applyAlignment="1">
      <alignment horizontal="left"/>
    </xf>
    <xf numFmtId="164" fontId="0" fillId="0" borderId="16" xfId="0" applyNumberFormat="1" applyBorder="1"/>
    <xf numFmtId="0" fontId="1" fillId="0" borderId="0" xfId="0" applyFont="1"/>
    <xf numFmtId="0" fontId="0" fillId="0" borderId="56" xfId="0" applyBorder="1" applyAlignment="1">
      <alignment wrapText="1"/>
    </xf>
    <xf numFmtId="0" fontId="7" fillId="0" borderId="17" xfId="0" applyFont="1" applyBorder="1" applyAlignment="1">
      <alignment horizontal="left" wrapText="1"/>
    </xf>
    <xf numFmtId="0" fontId="0" fillId="19" borderId="0" xfId="0" applyFill="1" applyAlignment="1">
      <alignment horizontal="left" wrapText="1"/>
    </xf>
    <xf numFmtId="0" fontId="0" fillId="0" borderId="0" xfId="0" applyAlignment="1">
      <alignment horizontal="left" wrapText="1"/>
    </xf>
    <xf numFmtId="14" fontId="7" fillId="0" borderId="0" xfId="0" applyNumberFormat="1" applyFont="1" applyAlignment="1">
      <alignment horizontal="right"/>
    </xf>
    <xf numFmtId="0" fontId="20" fillId="0" borderId="0" xfId="0" applyFont="1"/>
    <xf numFmtId="0" fontId="9" fillId="0" borderId="0" xfId="0" applyFont="1" applyAlignment="1">
      <alignment horizontal="right"/>
    </xf>
    <xf numFmtId="164" fontId="14" fillId="0" borderId="57" xfId="33" applyNumberFormat="1" applyFont="1" applyBorder="1" applyAlignment="1" applyProtection="1">
      <alignment horizontal="center" vertical="center"/>
      <protection locked="0"/>
    </xf>
    <xf numFmtId="2" fontId="14" fillId="0" borderId="17" xfId="33" applyNumberFormat="1" applyFont="1" applyBorder="1" applyAlignment="1" applyProtection="1">
      <alignment horizontal="center" vertical="center"/>
      <protection locked="0"/>
    </xf>
    <xf numFmtId="164" fontId="14" fillId="0" borderId="58" xfId="33" applyNumberFormat="1" applyFont="1" applyBorder="1" applyAlignment="1" applyProtection="1">
      <alignment horizontal="center" vertical="center"/>
      <protection locked="0"/>
    </xf>
    <xf numFmtId="164" fontId="14" fillId="0" borderId="17" xfId="33" applyNumberFormat="1" applyFont="1" applyBorder="1" applyAlignment="1" applyProtection="1">
      <alignment horizontal="center" vertical="center"/>
      <protection locked="0"/>
    </xf>
    <xf numFmtId="164" fontId="14" fillId="0" borderId="59" xfId="33" applyNumberFormat="1" applyFont="1" applyBorder="1" applyAlignment="1" applyProtection="1">
      <alignment horizontal="center" vertical="center" wrapText="1"/>
      <protection locked="0"/>
    </xf>
    <xf numFmtId="167" fontId="14" fillId="0" borderId="59" xfId="33" applyNumberFormat="1" applyFont="1" applyBorder="1" applyAlignment="1">
      <alignment horizontal="center" vertical="center" wrapText="1"/>
    </xf>
    <xf numFmtId="164" fontId="4" fillId="0" borderId="60" xfId="0" applyNumberFormat="1" applyFont="1" applyBorder="1" applyAlignment="1" applyProtection="1">
      <alignment wrapText="1"/>
      <protection locked="0"/>
    </xf>
    <xf numFmtId="49" fontId="9" fillId="0" borderId="0" xfId="0" applyNumberFormat="1" applyFont="1" applyAlignment="1" applyProtection="1">
      <alignment horizontal="center"/>
      <protection locked="0"/>
    </xf>
    <xf numFmtId="0" fontId="0" fillId="19" borderId="0" xfId="0" applyFill="1" applyAlignment="1">
      <alignment wrapText="1"/>
    </xf>
    <xf numFmtId="2" fontId="10" fillId="0" borderId="0" xfId="0" applyNumberFormat="1" applyFont="1" applyAlignment="1">
      <alignment horizontal="center"/>
    </xf>
    <xf numFmtId="0" fontId="0" fillId="0" borderId="38" xfId="0" applyBorder="1" applyAlignment="1">
      <alignment horizontal="center" vertical="center"/>
    </xf>
    <xf numFmtId="2" fontId="0" fillId="0" borderId="62" xfId="0" applyNumberFormat="1" applyBorder="1" applyAlignment="1">
      <alignment horizontal="center" vertical="center"/>
    </xf>
    <xf numFmtId="164" fontId="14" fillId="0" borderId="63" xfId="0" applyNumberFormat="1" applyFont="1" applyBorder="1" applyAlignment="1">
      <alignment horizontal="center"/>
    </xf>
    <xf numFmtId="164" fontId="14" fillId="0" borderId="67" xfId="0" applyNumberFormat="1" applyFont="1" applyBorder="1" applyAlignment="1">
      <alignment horizontal="center"/>
    </xf>
    <xf numFmtId="0" fontId="14" fillId="0" borderId="69" xfId="0" applyFont="1" applyBorder="1" applyAlignment="1">
      <alignment horizontal="center"/>
    </xf>
    <xf numFmtId="164" fontId="14" fillId="0" borderId="70" xfId="0" applyNumberFormat="1" applyFont="1" applyBorder="1" applyAlignment="1">
      <alignment horizontal="center"/>
    </xf>
    <xf numFmtId="164" fontId="10" fillId="0" borderId="34" xfId="0" applyNumberFormat="1" applyFont="1" applyBorder="1" applyAlignment="1">
      <alignment horizontal="center"/>
    </xf>
    <xf numFmtId="0" fontId="10" fillId="0" borderId="73" xfId="0" applyFont="1" applyBorder="1"/>
    <xf numFmtId="164" fontId="10" fillId="0" borderId="74" xfId="0" applyNumberFormat="1" applyFont="1" applyBorder="1" applyAlignment="1">
      <alignment horizontal="center"/>
    </xf>
    <xf numFmtId="164" fontId="10" fillId="0" borderId="75" xfId="0" applyNumberFormat="1" applyFont="1" applyBorder="1" applyAlignment="1">
      <alignment horizontal="center"/>
    </xf>
    <xf numFmtId="0" fontId="7" fillId="0" borderId="76" xfId="0" applyFont="1" applyBorder="1" applyAlignment="1">
      <alignment vertical="center"/>
    </xf>
    <xf numFmtId="0" fontId="7" fillId="0" borderId="77" xfId="0" applyFont="1" applyBorder="1" applyAlignment="1">
      <alignment vertical="center"/>
    </xf>
    <xf numFmtId="2" fontId="7" fillId="0" borderId="78" xfId="0" applyNumberFormat="1" applyFont="1" applyBorder="1" applyAlignment="1">
      <alignment horizontal="center" vertical="center"/>
    </xf>
    <xf numFmtId="2" fontId="7" fillId="0" borderId="79" xfId="0" applyNumberFormat="1" applyFont="1" applyBorder="1" applyAlignment="1">
      <alignment horizontal="center" vertical="center"/>
    </xf>
    <xf numFmtId="0" fontId="9" fillId="0" borderId="0" xfId="0" applyFont="1" applyAlignment="1">
      <alignment horizontal="center" vertical="center" wrapText="1"/>
    </xf>
    <xf numFmtId="0" fontId="14" fillId="0" borderId="80" xfId="33" applyFont="1" applyBorder="1" applyAlignment="1" applyProtection="1">
      <alignment horizontal="left" vertical="center"/>
      <protection locked="0"/>
    </xf>
    <xf numFmtId="164" fontId="0" fillId="19" borderId="38" xfId="0" applyNumberFormat="1" applyFill="1" applyBorder="1" applyAlignment="1">
      <alignment horizontal="center"/>
    </xf>
    <xf numFmtId="164" fontId="0" fillId="19" borderId="81" xfId="0" applyNumberFormat="1" applyFill="1" applyBorder="1" applyAlignment="1">
      <alignment horizontal="center"/>
    </xf>
    <xf numFmtId="0" fontId="0" fillId="23" borderId="0" xfId="0" applyFill="1"/>
    <xf numFmtId="0" fontId="7" fillId="0" borderId="0" xfId="0" applyFont="1" applyAlignment="1">
      <alignment horizontal="left" vertical="center" wrapText="1"/>
    </xf>
    <xf numFmtId="2" fontId="7" fillId="0" borderId="59" xfId="0" applyNumberFormat="1" applyFont="1" applyBorder="1" applyAlignment="1">
      <alignment horizontal="center" vertical="center"/>
    </xf>
    <xf numFmtId="2" fontId="7" fillId="0" borderId="60" xfId="0" applyNumberFormat="1" applyFont="1" applyBorder="1" applyAlignment="1">
      <alignment horizontal="center" vertical="center"/>
    </xf>
    <xf numFmtId="2" fontId="22" fillId="19" borderId="0" xfId="0" applyNumberFormat="1" applyFont="1" applyFill="1" applyProtection="1">
      <protection locked="0"/>
    </xf>
    <xf numFmtId="14" fontId="1" fillId="0" borderId="0" xfId="0" applyNumberFormat="1" applyFont="1"/>
    <xf numFmtId="2" fontId="1" fillId="19" borderId="0" xfId="0" applyNumberFormat="1" applyFont="1" applyFill="1"/>
    <xf numFmtId="2" fontId="7" fillId="19" borderId="0" xfId="0" applyNumberFormat="1" applyFont="1" applyFill="1"/>
    <xf numFmtId="0" fontId="7" fillId="19" borderId="0" xfId="0" applyFont="1" applyFill="1"/>
    <xf numFmtId="14" fontId="7" fillId="19" borderId="0" xfId="0" applyNumberFormat="1" applyFont="1" applyFill="1"/>
    <xf numFmtId="0" fontId="0" fillId="24" borderId="37" xfId="0" applyFill="1" applyBorder="1"/>
    <xf numFmtId="0" fontId="20" fillId="24" borderId="0" xfId="0" applyFont="1" applyFill="1"/>
    <xf numFmtId="0" fontId="20" fillId="24" borderId="0" xfId="0" applyFont="1" applyFill="1" applyAlignment="1">
      <alignment horizontal="right"/>
    </xf>
    <xf numFmtId="0" fontId="0" fillId="24" borderId="0" xfId="0" applyFill="1"/>
    <xf numFmtId="0" fontId="23" fillId="24" borderId="0" xfId="0" applyFont="1" applyFill="1"/>
    <xf numFmtId="0" fontId="5" fillId="24" borderId="0" xfId="0" applyFont="1" applyFill="1"/>
    <xf numFmtId="0" fontId="4" fillId="24" borderId="0" xfId="0" applyFont="1" applyFill="1" applyAlignment="1">
      <alignment horizontal="right"/>
    </xf>
    <xf numFmtId="0" fontId="0" fillId="24" borderId="16" xfId="0" applyFill="1" applyBorder="1"/>
    <xf numFmtId="0" fontId="24" fillId="24" borderId="16" xfId="0" applyFont="1" applyFill="1" applyBorder="1" applyAlignment="1">
      <alignment vertical="top"/>
    </xf>
    <xf numFmtId="0" fontId="0" fillId="24" borderId="10" xfId="0" applyFill="1" applyBorder="1"/>
    <xf numFmtId="0" fontId="24" fillId="24" borderId="11" xfId="0" applyFont="1" applyFill="1" applyBorder="1" applyAlignment="1">
      <alignment vertical="top"/>
    </xf>
    <xf numFmtId="0" fontId="0" fillId="24" borderId="11" xfId="0" applyFill="1" applyBorder="1"/>
    <xf numFmtId="0" fontId="0" fillId="24" borderId="36" xfId="0" applyFill="1" applyBorder="1"/>
    <xf numFmtId="0" fontId="14" fillId="24" borderId="0" xfId="0" applyFont="1" applyFill="1"/>
    <xf numFmtId="0" fontId="16" fillId="24" borderId="82" xfId="0" applyFont="1" applyFill="1" applyBorder="1"/>
    <xf numFmtId="0" fontId="14" fillId="24" borderId="0" xfId="0" applyFont="1" applyFill="1" applyAlignment="1">
      <alignment horizontal="right"/>
    </xf>
    <xf numFmtId="0" fontId="0" fillId="24" borderId="0" xfId="0" applyFill="1" applyAlignment="1">
      <alignment horizontal="right"/>
    </xf>
    <xf numFmtId="0" fontId="0" fillId="24" borderId="27" xfId="0" applyFill="1" applyBorder="1"/>
    <xf numFmtId="0" fontId="0" fillId="24" borderId="0" xfId="0" applyFill="1" applyAlignment="1">
      <alignment horizontal="center"/>
    </xf>
    <xf numFmtId="0" fontId="14" fillId="24" borderId="0" xfId="0" applyFont="1" applyFill="1" applyAlignment="1">
      <alignment horizontal="left"/>
    </xf>
    <xf numFmtId="0" fontId="0" fillId="24" borderId="0" xfId="0" applyFill="1" applyProtection="1">
      <protection locked="0"/>
    </xf>
    <xf numFmtId="0" fontId="14" fillId="24" borderId="0" xfId="0" applyFont="1" applyFill="1" applyAlignment="1">
      <alignment horizontal="center"/>
    </xf>
    <xf numFmtId="0" fontId="4" fillId="24" borderId="0" xfId="0" applyFont="1" applyFill="1"/>
    <xf numFmtId="0" fontId="26" fillId="24" borderId="0" xfId="0" applyFont="1" applyFill="1"/>
    <xf numFmtId="0" fontId="27" fillId="24" borderId="0" xfId="0" applyFont="1" applyFill="1"/>
    <xf numFmtId="0" fontId="28" fillId="24" borderId="0" xfId="0" applyFont="1" applyFill="1"/>
    <xf numFmtId="0" fontId="0" fillId="24" borderId="82" xfId="0" applyFill="1" applyBorder="1"/>
    <xf numFmtId="0" fontId="16" fillId="24" borderId="82" xfId="0" applyFont="1" applyFill="1" applyBorder="1" applyAlignment="1">
      <alignment horizontal="center"/>
    </xf>
    <xf numFmtId="0" fontId="4" fillId="24" borderId="0" xfId="0" applyFont="1" applyFill="1" applyAlignment="1">
      <alignment horizontal="center"/>
    </xf>
    <xf numFmtId="0" fontId="10" fillId="24" borderId="0" xfId="0" applyFont="1" applyFill="1"/>
    <xf numFmtId="0" fontId="0" fillId="24" borderId="37" xfId="0" applyFill="1" applyBorder="1" applyProtection="1">
      <protection locked="0"/>
    </xf>
    <xf numFmtId="0" fontId="14" fillId="24" borderId="0" xfId="0" applyFont="1" applyFill="1" applyProtection="1">
      <protection locked="0"/>
    </xf>
    <xf numFmtId="0" fontId="0" fillId="24" borderId="27" xfId="0" applyFill="1" applyBorder="1" applyProtection="1">
      <protection locked="0"/>
    </xf>
    <xf numFmtId="0" fontId="0" fillId="24" borderId="37" xfId="0" applyFill="1" applyBorder="1" applyAlignment="1">
      <alignment vertical="center"/>
    </xf>
    <xf numFmtId="0" fontId="10" fillId="24" borderId="0" xfId="0" applyFont="1" applyFill="1" applyAlignment="1">
      <alignment vertical="center"/>
    </xf>
    <xf numFmtId="0" fontId="27" fillId="24" borderId="0" xfId="0" applyFont="1" applyFill="1" applyAlignment="1">
      <alignment vertical="center"/>
    </xf>
    <xf numFmtId="0" fontId="0" fillId="24" borderId="0" xfId="0" applyFill="1" applyAlignment="1">
      <alignment vertical="center"/>
    </xf>
    <xf numFmtId="0" fontId="0" fillId="24" borderId="27" xfId="0" applyFill="1" applyBorder="1" applyAlignment="1">
      <alignment vertical="center"/>
    </xf>
    <xf numFmtId="0" fontId="31" fillId="24" borderId="0" xfId="0" applyFont="1" applyFill="1"/>
    <xf numFmtId="0" fontId="32" fillId="24" borderId="0" xfId="0" applyFont="1" applyFill="1"/>
    <xf numFmtId="0" fontId="11" fillId="24" borderId="0" xfId="0" applyFont="1" applyFill="1"/>
    <xf numFmtId="0" fontId="14" fillId="24" borderId="0" xfId="0" applyFont="1" applyFill="1" applyAlignment="1">
      <alignment vertical="center"/>
    </xf>
    <xf numFmtId="0" fontId="14" fillId="24" borderId="0" xfId="0" applyFont="1" applyFill="1" applyAlignment="1">
      <alignment horizontal="left" vertical="center"/>
    </xf>
    <xf numFmtId="0" fontId="14" fillId="24" borderId="0" xfId="0" applyFont="1" applyFill="1" applyAlignment="1">
      <alignment horizontal="right" vertical="center"/>
    </xf>
    <xf numFmtId="0" fontId="33" fillId="24" borderId="27" xfId="0" applyFont="1" applyFill="1" applyBorder="1" applyAlignment="1">
      <alignment vertical="center"/>
    </xf>
    <xf numFmtId="0" fontId="7" fillId="24" borderId="0" xfId="0" applyFont="1" applyFill="1"/>
    <xf numFmtId="49" fontId="0" fillId="24" borderId="0" xfId="0" applyNumberFormat="1" applyFill="1" applyAlignment="1">
      <alignment horizontal="left"/>
    </xf>
    <xf numFmtId="0" fontId="14" fillId="24" borderId="11" xfId="0" applyFont="1" applyFill="1" applyBorder="1"/>
    <xf numFmtId="0" fontId="10" fillId="24" borderId="11" xfId="0" applyFont="1" applyFill="1" applyBorder="1"/>
    <xf numFmtId="0" fontId="0" fillId="24" borderId="11" xfId="0" applyFill="1" applyBorder="1" applyAlignment="1">
      <alignment horizontal="right"/>
    </xf>
    <xf numFmtId="49" fontId="0" fillId="24" borderId="11" xfId="0" applyNumberFormat="1" applyFill="1" applyBorder="1" applyAlignment="1">
      <alignment horizontal="left"/>
    </xf>
    <xf numFmtId="49" fontId="4" fillId="24" borderId="0" xfId="0" applyNumberFormat="1" applyFont="1" applyFill="1" applyAlignment="1">
      <alignment horizontal="left"/>
    </xf>
    <xf numFmtId="0" fontId="4" fillId="24" borderId="0" xfId="0" applyFont="1" applyFill="1" applyAlignment="1">
      <alignment horizontal="left"/>
    </xf>
    <xf numFmtId="49" fontId="0" fillId="24" borderId="0" xfId="0" applyNumberFormat="1" applyFill="1"/>
    <xf numFmtId="0" fontId="4" fillId="24" borderId="15" xfId="0" applyFont="1" applyFill="1" applyBorder="1"/>
    <xf numFmtId="0" fontId="10" fillId="24" borderId="16" xfId="0" applyFont="1" applyFill="1" applyBorder="1"/>
    <xf numFmtId="0" fontId="4" fillId="24" borderId="16" xfId="0" applyFont="1" applyFill="1" applyBorder="1"/>
    <xf numFmtId="0" fontId="4" fillId="24" borderId="56" xfId="0" applyFont="1" applyFill="1" applyBorder="1"/>
    <xf numFmtId="0" fontId="6" fillId="0" borderId="0" xfId="0" applyFont="1"/>
    <xf numFmtId="0" fontId="35" fillId="0" borderId="0" xfId="0" applyFont="1"/>
    <xf numFmtId="0" fontId="35" fillId="0" borderId="0" xfId="0" applyFont="1" applyProtection="1">
      <protection locked="0"/>
    </xf>
    <xf numFmtId="0" fontId="36" fillId="0" borderId="0" xfId="0" applyFont="1" applyProtection="1">
      <protection locked="0"/>
    </xf>
    <xf numFmtId="0" fontId="36" fillId="0" borderId="0" xfId="0" applyFont="1"/>
    <xf numFmtId="49" fontId="7" fillId="19" borderId="45" xfId="0" applyNumberFormat="1" applyFont="1" applyFill="1" applyBorder="1" applyAlignment="1" applyProtection="1">
      <alignment horizontal="right"/>
      <protection locked="0"/>
    </xf>
    <xf numFmtId="0" fontId="19" fillId="0" borderId="14" xfId="0" applyFont="1" applyBorder="1"/>
    <xf numFmtId="0" fontId="7" fillId="0" borderId="14" xfId="0" applyFont="1" applyBorder="1" applyAlignment="1">
      <alignment horizontal="right"/>
    </xf>
    <xf numFmtId="0" fontId="11" fillId="25" borderId="0" xfId="0" applyFont="1" applyFill="1" applyAlignment="1">
      <alignment wrapText="1"/>
    </xf>
    <xf numFmtId="0" fontId="15" fillId="0" borderId="0" xfId="0" applyFont="1" applyAlignment="1">
      <alignment horizontal="right"/>
    </xf>
    <xf numFmtId="0" fontId="54" fillId="25" borderId="0" xfId="0" applyFont="1" applyFill="1"/>
    <xf numFmtId="0" fontId="54" fillId="25" borderId="0" xfId="0" applyFont="1" applyFill="1" applyAlignment="1">
      <alignment wrapText="1"/>
    </xf>
    <xf numFmtId="0" fontId="11" fillId="25" borderId="0" xfId="0" applyFont="1" applyFill="1"/>
    <xf numFmtId="0" fontId="1" fillId="25" borderId="0" xfId="0" applyFont="1" applyFill="1" applyAlignment="1">
      <alignment wrapText="1"/>
    </xf>
    <xf numFmtId="0" fontId="1" fillId="25" borderId="0" xfId="0" applyFont="1" applyFill="1" applyAlignment="1">
      <alignment horizontal="left" wrapText="1"/>
    </xf>
    <xf numFmtId="0" fontId="11" fillId="25" borderId="0" xfId="0" applyFont="1" applyFill="1" applyProtection="1">
      <protection locked="0"/>
    </xf>
    <xf numFmtId="0" fontId="57" fillId="0" borderId="0" xfId="0" applyFont="1" applyAlignment="1">
      <alignment horizontal="right" vertical="top"/>
    </xf>
    <xf numFmtId="0" fontId="7" fillId="0" borderId="25" xfId="0" applyFont="1" applyBorder="1"/>
    <xf numFmtId="0" fontId="12" fillId="0" borderId="28" xfId="0" applyFont="1" applyBorder="1"/>
    <xf numFmtId="0" fontId="7" fillId="0" borderId="28" xfId="0" applyFont="1" applyBorder="1"/>
    <xf numFmtId="0" fontId="7" fillId="0" borderId="26" xfId="0" applyFont="1" applyBorder="1"/>
    <xf numFmtId="0" fontId="7" fillId="0" borderId="28" xfId="0" applyFont="1" applyBorder="1" applyAlignment="1">
      <alignment wrapText="1"/>
    </xf>
    <xf numFmtId="0" fontId="7" fillId="19" borderId="35" xfId="0" applyFont="1" applyFill="1" applyBorder="1" applyAlignment="1" applyProtection="1">
      <alignment horizontal="right"/>
      <protection locked="0"/>
    </xf>
    <xf numFmtId="0" fontId="12" fillId="0" borderId="33" xfId="0" applyFont="1" applyBorder="1"/>
    <xf numFmtId="49" fontId="7" fillId="19" borderId="34" xfId="0" applyNumberFormat="1" applyFont="1" applyFill="1" applyBorder="1" applyAlignment="1" applyProtection="1">
      <alignment horizontal="right"/>
      <protection locked="0"/>
    </xf>
    <xf numFmtId="0" fontId="56" fillId="0" borderId="38" xfId="0" applyFont="1" applyBorder="1"/>
    <xf numFmtId="0" fontId="7" fillId="0" borderId="33" xfId="0" applyFont="1" applyBorder="1"/>
    <xf numFmtId="0" fontId="7" fillId="19" borderId="34" xfId="0" applyFont="1" applyFill="1" applyBorder="1" applyAlignment="1" applyProtection="1">
      <alignment horizontal="right"/>
      <protection locked="0"/>
    </xf>
    <xf numFmtId="14" fontId="7" fillId="19" borderId="34" xfId="0" applyNumberFormat="1" applyFont="1" applyFill="1" applyBorder="1" applyAlignment="1" applyProtection="1">
      <alignment horizontal="right"/>
      <protection locked="0"/>
    </xf>
    <xf numFmtId="0" fontId="7" fillId="0" borderId="83" xfId="0" applyFont="1" applyBorder="1"/>
    <xf numFmtId="0" fontId="0" fillId="19" borderId="34" xfId="0" applyFill="1" applyBorder="1" applyAlignment="1" applyProtection="1">
      <alignment horizontal="right"/>
      <protection locked="0"/>
    </xf>
    <xf numFmtId="0" fontId="7" fillId="0" borderId="33" xfId="0" applyFont="1" applyBorder="1" applyAlignment="1">
      <alignment wrapText="1"/>
    </xf>
    <xf numFmtId="0" fontId="12" fillId="0" borderId="38" xfId="0" applyFont="1" applyBorder="1"/>
    <xf numFmtId="0" fontId="7" fillId="19" borderId="79" xfId="0" applyFont="1" applyFill="1" applyBorder="1" applyAlignment="1" applyProtection="1">
      <alignment horizontal="right"/>
      <protection locked="0"/>
    </xf>
    <xf numFmtId="0" fontId="7" fillId="0" borderId="25" xfId="0" applyFont="1" applyBorder="1" applyAlignment="1">
      <alignment wrapText="1"/>
    </xf>
    <xf numFmtId="0" fontId="19" fillId="0" borderId="11" xfId="0" applyFont="1" applyBorder="1"/>
    <xf numFmtId="0" fontId="19" fillId="0" borderId="15" xfId="0" applyFont="1" applyBorder="1"/>
    <xf numFmtId="0" fontId="12" fillId="0" borderId="15" xfId="0" applyFont="1" applyBorder="1" applyAlignment="1">
      <alignment vertical="center"/>
    </xf>
    <xf numFmtId="0" fontId="58" fillId="0" borderId="49" xfId="0" applyFont="1" applyBorder="1"/>
    <xf numFmtId="0" fontId="59" fillId="0" borderId="0" xfId="0" applyFont="1" applyAlignment="1">
      <alignment wrapText="1"/>
    </xf>
    <xf numFmtId="0" fontId="59" fillId="0" borderId="0" xfId="0" applyFont="1"/>
    <xf numFmtId="0" fontId="7" fillId="0" borderId="11" xfId="0" applyFont="1" applyBorder="1" applyProtection="1">
      <protection locked="0"/>
    </xf>
    <xf numFmtId="0" fontId="0" fillId="25" borderId="0" xfId="0" applyFill="1" applyAlignment="1">
      <alignment horizontal="justify"/>
    </xf>
    <xf numFmtId="0" fontId="11" fillId="0" borderId="56" xfId="0" applyFont="1" applyBorder="1" applyAlignment="1">
      <alignment horizontal="right"/>
    </xf>
    <xf numFmtId="0" fontId="55" fillId="0" borderId="27" xfId="0" applyFont="1" applyBorder="1" applyAlignment="1">
      <alignment horizontal="right" vertical="center"/>
    </xf>
    <xf numFmtId="0" fontId="7" fillId="0" borderId="51" xfId="0" applyFont="1" applyBorder="1"/>
    <xf numFmtId="0" fontId="7" fillId="0" borderId="46" xfId="0" applyFont="1" applyBorder="1"/>
    <xf numFmtId="0" fontId="7" fillId="0" borderId="61" xfId="0" applyFont="1" applyBorder="1"/>
    <xf numFmtId="0" fontId="7" fillId="19" borderId="60" xfId="0" applyFont="1" applyFill="1" applyBorder="1" applyAlignment="1" applyProtection="1">
      <alignment horizontal="right"/>
      <protection locked="0"/>
    </xf>
    <xf numFmtId="49" fontId="14" fillId="0" borderId="0" xfId="0" applyNumberFormat="1" applyFont="1" applyAlignment="1">
      <alignment vertical="top"/>
    </xf>
    <xf numFmtId="49" fontId="14" fillId="0" borderId="0" xfId="0" applyNumberFormat="1" applyFont="1" applyAlignment="1" applyProtection="1">
      <alignment vertical="top" wrapText="1"/>
      <protection locked="0"/>
    </xf>
    <xf numFmtId="166" fontId="14" fillId="0" borderId="55" xfId="0" applyNumberFormat="1" applyFont="1" applyBorder="1" applyAlignment="1">
      <alignment vertical="top"/>
    </xf>
    <xf numFmtId="49" fontId="11" fillId="0" borderId="0" xfId="0" applyNumberFormat="1" applyFont="1" applyAlignment="1" applyProtection="1">
      <alignment vertical="top"/>
      <protection locked="0"/>
    </xf>
    <xf numFmtId="0" fontId="11" fillId="25" borderId="0" xfId="0" applyFont="1" applyFill="1" applyAlignment="1">
      <alignment horizontal="justify"/>
    </xf>
    <xf numFmtId="0" fontId="4" fillId="0" borderId="0" xfId="0" applyFont="1"/>
    <xf numFmtId="0" fontId="4" fillId="0" borderId="0" xfId="0" applyFont="1" applyAlignment="1">
      <alignment horizontal="left"/>
    </xf>
    <xf numFmtId="0" fontId="64" fillId="0" borderId="33" xfId="0" applyFont="1" applyBorder="1"/>
    <xf numFmtId="0" fontId="0" fillId="0" borderId="24" xfId="0" applyBorder="1"/>
    <xf numFmtId="0" fontId="0" fillId="0" borderId="0" xfId="0" applyAlignment="1">
      <alignment horizontal="right" vertical="center"/>
    </xf>
    <xf numFmtId="0" fontId="62" fillId="0" borderId="0" xfId="0" applyFont="1" applyAlignment="1">
      <alignment vertical="center"/>
    </xf>
    <xf numFmtId="0" fontId="0" fillId="0" borderId="18" xfId="0" applyBorder="1"/>
    <xf numFmtId="0" fontId="63" fillId="26" borderId="18" xfId="0" applyFont="1" applyFill="1" applyBorder="1" applyAlignment="1">
      <alignment vertical="center" wrapText="1"/>
    </xf>
    <xf numFmtId="0" fontId="11" fillId="0" borderId="18" xfId="0" applyFont="1" applyBorder="1"/>
    <xf numFmtId="0" fontId="63" fillId="27" borderId="84" xfId="0" applyFont="1" applyFill="1" applyBorder="1"/>
    <xf numFmtId="0" fontId="11" fillId="0" borderId="0" xfId="0" applyFont="1" applyAlignment="1">
      <alignment horizontal="justify"/>
    </xf>
    <xf numFmtId="0" fontId="11" fillId="28" borderId="0" xfId="0" applyFont="1" applyFill="1" applyAlignment="1">
      <alignment wrapText="1"/>
    </xf>
    <xf numFmtId="0" fontId="0" fillId="28" borderId="0" xfId="0" applyFill="1" applyAlignment="1">
      <alignment horizontal="justify"/>
    </xf>
    <xf numFmtId="0" fontId="11" fillId="28" borderId="0" xfId="0" applyFont="1" applyFill="1" applyAlignment="1">
      <alignment horizontal="justify"/>
    </xf>
    <xf numFmtId="0" fontId="11" fillId="29" borderId="0" xfId="0" applyFont="1" applyFill="1" applyAlignment="1">
      <alignment wrapText="1"/>
    </xf>
    <xf numFmtId="0" fontId="0" fillId="29" borderId="0" xfId="0" applyFill="1" applyAlignment="1">
      <alignment horizontal="justify"/>
    </xf>
    <xf numFmtId="0" fontId="11" fillId="29" borderId="0" xfId="0" applyFont="1" applyFill="1" applyAlignment="1">
      <alignment horizontal="justify"/>
    </xf>
    <xf numFmtId="0" fontId="11" fillId="28" borderId="0" xfId="0" applyFont="1" applyFill="1" applyAlignment="1">
      <alignment horizontal="justify" wrapText="1"/>
    </xf>
    <xf numFmtId="0" fontId="11" fillId="29" borderId="0" xfId="0" applyFont="1" applyFill="1" applyAlignment="1">
      <alignment horizontal="justify" wrapText="1"/>
    </xf>
    <xf numFmtId="0" fontId="29" fillId="0" borderId="0" xfId="0" applyFont="1" applyAlignment="1">
      <alignment horizontal="right"/>
    </xf>
    <xf numFmtId="167" fontId="4" fillId="0" borderId="58" xfId="33" applyNumberFormat="1" applyFont="1" applyBorder="1" applyAlignment="1" applyProtection="1">
      <alignment horizontal="center" vertical="center" wrapText="1"/>
      <protection locked="0"/>
    </xf>
    <xf numFmtId="0" fontId="65" fillId="0" borderId="85" xfId="0" applyFont="1" applyBorder="1"/>
    <xf numFmtId="0" fontId="67" fillId="19" borderId="79" xfId="29" applyNumberFormat="1" applyFont="1" applyFill="1" applyBorder="1" applyAlignment="1" applyProtection="1">
      <alignment horizontal="right"/>
      <protection locked="0"/>
    </xf>
    <xf numFmtId="0" fontId="30" fillId="0" borderId="0" xfId="0" applyFont="1" applyProtection="1">
      <protection locked="0"/>
    </xf>
    <xf numFmtId="0" fontId="26" fillId="0" borderId="18" xfId="0" applyFont="1" applyBorder="1" applyAlignment="1">
      <alignment horizontal="center" vertical="center" wrapText="1"/>
    </xf>
    <xf numFmtId="168" fontId="68" fillId="0" borderId="18" xfId="0" applyNumberFormat="1" applyFont="1" applyBorder="1" applyAlignment="1">
      <alignment horizontal="center" vertical="center" wrapText="1"/>
    </xf>
    <xf numFmtId="0" fontId="68" fillId="0" borderId="18" xfId="0" applyFont="1" applyBorder="1" applyAlignment="1">
      <alignment horizontal="center" vertical="center" wrapText="1"/>
    </xf>
    <xf numFmtId="0" fontId="68" fillId="0" borderId="18" xfId="0" applyFont="1" applyBorder="1" applyAlignment="1">
      <alignment horizontal="left" vertical="center" wrapText="1"/>
    </xf>
    <xf numFmtId="0" fontId="68" fillId="0" borderId="18" xfId="0" applyFont="1" applyBorder="1" applyAlignment="1">
      <alignment vertical="center" wrapText="1"/>
    </xf>
    <xf numFmtId="0" fontId="1" fillId="0" borderId="50" xfId="0" applyFont="1" applyBorder="1"/>
    <xf numFmtId="164" fontId="10" fillId="0" borderId="31" xfId="0" applyNumberFormat="1" applyFont="1" applyBorder="1" applyAlignment="1" applyProtection="1">
      <alignment horizontal="center" textRotation="90" wrapText="1"/>
      <protection hidden="1"/>
    </xf>
    <xf numFmtId="0" fontId="7" fillId="0" borderId="37" xfId="0" applyFont="1" applyBorder="1"/>
    <xf numFmtId="0" fontId="1" fillId="0" borderId="0" xfId="0" applyFont="1" applyAlignment="1">
      <alignment horizontal="justify"/>
    </xf>
    <xf numFmtId="165" fontId="10" fillId="0" borderId="32" xfId="0" applyNumberFormat="1" applyFont="1" applyBorder="1" applyAlignment="1">
      <alignment horizontal="center" vertical="center" textRotation="90" wrapText="1"/>
    </xf>
    <xf numFmtId="0" fontId="0" fillId="0" borderId="18" xfId="0" applyBorder="1" applyAlignment="1">
      <alignment horizontal="center" vertical="center"/>
    </xf>
    <xf numFmtId="14" fontId="0" fillId="0" borderId="18" xfId="0" applyNumberFormat="1" applyBorder="1" applyAlignment="1">
      <alignment horizontal="center" vertical="center"/>
    </xf>
    <xf numFmtId="0" fontId="1" fillId="0" borderId="18" xfId="0" applyFont="1" applyBorder="1" applyAlignment="1">
      <alignment horizontal="center" vertical="center"/>
    </xf>
    <xf numFmtId="167" fontId="14" fillId="0" borderId="58" xfId="33" applyNumberFormat="1" applyFont="1" applyBorder="1" applyAlignment="1" applyProtection="1">
      <alignment horizontal="center" vertical="center" wrapText="1"/>
      <protection locked="0"/>
    </xf>
    <xf numFmtId="0" fontId="7" fillId="0" borderId="13" xfId="0" applyFont="1" applyBorder="1"/>
    <xf numFmtId="164" fontId="14" fillId="0" borderId="64" xfId="0" applyNumberFormat="1" applyFont="1" applyBorder="1" applyAlignment="1">
      <alignment horizontal="center"/>
    </xf>
    <xf numFmtId="164" fontId="14" fillId="0" borderId="65" xfId="0" applyNumberFormat="1" applyFont="1" applyBorder="1" applyAlignment="1">
      <alignment horizontal="center"/>
    </xf>
    <xf numFmtId="164" fontId="14" fillId="0" borderId="66" xfId="0" applyNumberFormat="1" applyFont="1" applyBorder="1" applyAlignment="1">
      <alignment horizontal="center"/>
    </xf>
    <xf numFmtId="164" fontId="14" fillId="0" borderId="68" xfId="0" applyNumberFormat="1" applyFont="1" applyBorder="1" applyAlignment="1">
      <alignment horizontal="center"/>
    </xf>
    <xf numFmtId="164" fontId="14" fillId="0" borderId="71" xfId="0" applyNumberFormat="1" applyFont="1" applyBorder="1" applyAlignment="1">
      <alignment horizontal="center"/>
    </xf>
    <xf numFmtId="164" fontId="14" fillId="0" borderId="72" xfId="0" applyNumberFormat="1" applyFont="1" applyBorder="1" applyAlignment="1">
      <alignment horizontal="center"/>
    </xf>
    <xf numFmtId="0" fontId="68" fillId="0" borderId="0" xfId="0" applyFont="1" applyAlignment="1">
      <alignment horizontal="center" vertical="center" wrapText="1"/>
    </xf>
    <xf numFmtId="49" fontId="4" fillId="0" borderId="61" xfId="33" applyNumberFormat="1" applyFont="1" applyBorder="1" applyAlignment="1" applyProtection="1">
      <alignment horizontal="left" vertical="center"/>
      <protection locked="0"/>
    </xf>
    <xf numFmtId="164" fontId="0" fillId="0" borderId="0" xfId="0" applyNumberFormat="1"/>
    <xf numFmtId="165" fontId="10" fillId="0" borderId="53" xfId="0" applyNumberFormat="1" applyFont="1" applyBorder="1" applyAlignment="1" applyProtection="1">
      <alignment horizontal="justify"/>
      <protection locked="0"/>
    </xf>
    <xf numFmtId="165" fontId="10" fillId="0" borderId="32" xfId="0" applyNumberFormat="1" applyFont="1" applyBorder="1" applyAlignment="1" applyProtection="1">
      <alignment horizontal="center" vertical="center" textRotation="90" wrapText="1"/>
      <protection locked="0"/>
    </xf>
    <xf numFmtId="167" fontId="14" fillId="0" borderId="58" xfId="33" applyNumberFormat="1" applyFont="1" applyBorder="1" applyAlignment="1">
      <alignment horizontal="center" vertical="center" wrapText="1"/>
    </xf>
    <xf numFmtId="9" fontId="10" fillId="0" borderId="30" xfId="0" applyNumberFormat="1" applyFont="1" applyBorder="1" applyAlignment="1" applyProtection="1">
      <alignment horizontal="center" vertical="center" textRotation="90" wrapText="1"/>
      <protection locked="0"/>
    </xf>
    <xf numFmtId="9" fontId="14" fillId="0" borderId="55" xfId="0" applyNumberFormat="1" applyFont="1" applyBorder="1" applyAlignment="1">
      <alignment vertical="top"/>
    </xf>
    <xf numFmtId="9" fontId="0" fillId="0" borderId="59" xfId="0" applyNumberFormat="1" applyBorder="1"/>
    <xf numFmtId="166" fontId="18" fillId="0" borderId="59" xfId="0" applyNumberFormat="1" applyFont="1" applyBorder="1"/>
    <xf numFmtId="2" fontId="10" fillId="19" borderId="0" xfId="0" applyNumberFormat="1" applyFont="1" applyFill="1" applyAlignment="1">
      <alignment wrapText="1"/>
    </xf>
    <xf numFmtId="0" fontId="1" fillId="25" borderId="0" xfId="0" applyFont="1" applyFill="1" applyAlignment="1">
      <alignment horizontal="justify"/>
    </xf>
    <xf numFmtId="0" fontId="1" fillId="0" borderId="18" xfId="0" applyFont="1" applyBorder="1" applyAlignment="1">
      <alignment horizontal="left" vertical="center" wrapText="1"/>
    </xf>
    <xf numFmtId="0" fontId="1" fillId="0" borderId="59" xfId="0" applyFont="1" applyBorder="1" applyAlignment="1" applyProtection="1">
      <alignment horizontal="center"/>
      <protection locked="0"/>
    </xf>
    <xf numFmtId="0" fontId="1" fillId="0" borderId="18" xfId="0" applyFont="1" applyBorder="1" applyAlignment="1">
      <alignment horizontal="left" vertical="top" wrapText="1"/>
    </xf>
    <xf numFmtId="15" fontId="14" fillId="0" borderId="58" xfId="33" applyNumberFormat="1" applyFont="1" applyBorder="1" applyAlignment="1" applyProtection="1">
      <alignment horizontal="center" vertical="center" wrapText="1"/>
      <protection locked="0"/>
    </xf>
    <xf numFmtId="0" fontId="1" fillId="0" borderId="11" xfId="0" applyFont="1" applyBorder="1" applyProtection="1">
      <protection locked="0"/>
    </xf>
    <xf numFmtId="164" fontId="10" fillId="0" borderId="16" xfId="0" applyNumberFormat="1" applyFont="1" applyBorder="1" applyAlignment="1">
      <alignment horizontal="center" wrapText="1"/>
    </xf>
    <xf numFmtId="0" fontId="12" fillId="0" borderId="86" xfId="0" applyFont="1" applyBorder="1"/>
    <xf numFmtId="0" fontId="7" fillId="19" borderId="87" xfId="0" applyFont="1" applyFill="1" applyBorder="1" applyAlignment="1" applyProtection="1">
      <alignment horizontal="right"/>
      <protection locked="0"/>
    </xf>
    <xf numFmtId="0" fontId="1" fillId="0" borderId="0" xfId="0" applyFont="1" applyAlignment="1">
      <alignment wrapText="1"/>
    </xf>
    <xf numFmtId="0" fontId="7" fillId="0" borderId="86" xfId="0" applyFont="1" applyBorder="1"/>
    <xf numFmtId="0" fontId="7" fillId="0" borderId="15" xfId="0" applyFont="1" applyBorder="1"/>
    <xf numFmtId="0" fontId="7" fillId="0" borderId="88" xfId="0" applyFont="1" applyBorder="1"/>
    <xf numFmtId="0" fontId="67" fillId="19" borderId="35" xfId="29" applyNumberFormat="1" applyFont="1" applyFill="1" applyBorder="1" applyAlignment="1" applyProtection="1">
      <alignment horizontal="right"/>
      <protection locked="0"/>
    </xf>
    <xf numFmtId="0" fontId="64" fillId="0" borderId="89" xfId="0" applyFont="1" applyBorder="1"/>
    <xf numFmtId="0" fontId="59" fillId="25" borderId="0" xfId="0" applyFont="1" applyFill="1" applyProtection="1">
      <protection locked="0"/>
    </xf>
    <xf numFmtId="0" fontId="59" fillId="25" borderId="0" xfId="0" applyFont="1" applyFill="1" applyAlignment="1">
      <alignment wrapText="1"/>
    </xf>
    <xf numFmtId="0" fontId="74" fillId="25" borderId="0" xfId="0" applyFont="1" applyFill="1"/>
    <xf numFmtId="0" fontId="7" fillId="0" borderId="0" xfId="0" applyFont="1" applyAlignment="1">
      <alignment horizontal="right" wrapText="1"/>
    </xf>
    <xf numFmtId="0" fontId="9" fillId="0" borderId="0" xfId="0" applyFont="1" applyAlignment="1">
      <alignment horizontal="center" vertical="center" wrapText="1"/>
    </xf>
    <xf numFmtId="0" fontId="0" fillId="0" borderId="0" xfId="0" applyAlignment="1">
      <alignment vertical="top" wrapText="1"/>
    </xf>
    <xf numFmtId="0" fontId="0" fillId="19" borderId="10" xfId="0" applyFill="1" applyBorder="1" applyAlignment="1" applyProtection="1">
      <alignment horizontal="left" vertical="top" wrapText="1"/>
      <protection locked="0"/>
    </xf>
    <xf numFmtId="0" fontId="0" fillId="19" borderId="11" xfId="0" applyFill="1" applyBorder="1" applyAlignment="1" applyProtection="1">
      <alignment horizontal="left" vertical="top" wrapText="1"/>
      <protection locked="0"/>
    </xf>
    <xf numFmtId="0" fontId="0" fillId="19" borderId="37" xfId="0" applyFill="1" applyBorder="1" applyAlignment="1" applyProtection="1">
      <alignment horizontal="left" vertical="top" wrapText="1"/>
      <protection locked="0"/>
    </xf>
    <xf numFmtId="0" fontId="0" fillId="19" borderId="0" xfId="0" applyFill="1" applyAlignment="1" applyProtection="1">
      <alignment horizontal="left" vertical="top" wrapText="1"/>
      <protection locked="0"/>
    </xf>
    <xf numFmtId="0" fontId="0" fillId="19" borderId="15" xfId="0" applyFill="1" applyBorder="1" applyAlignment="1" applyProtection="1">
      <alignment horizontal="left" vertical="top" wrapText="1"/>
      <protection locked="0"/>
    </xf>
    <xf numFmtId="0" fontId="0" fillId="19" borderId="16" xfId="0" applyFill="1" applyBorder="1" applyAlignment="1" applyProtection="1">
      <alignment horizontal="left" vertical="top" wrapText="1"/>
      <protection locked="0"/>
    </xf>
    <xf numFmtId="0" fontId="0" fillId="19" borderId="28" xfId="0" applyFill="1" applyBorder="1" applyAlignment="1" applyProtection="1">
      <alignment horizontal="center" vertical="top" wrapText="1"/>
      <protection locked="0"/>
    </xf>
    <xf numFmtId="0" fontId="0" fillId="19" borderId="26" xfId="0" applyFill="1" applyBorder="1" applyAlignment="1" applyProtection="1">
      <alignment horizontal="center" vertical="top" wrapText="1"/>
      <protection locked="0"/>
    </xf>
    <xf numFmtId="0" fontId="57" fillId="0" borderId="0" xfId="0" applyFont="1" applyAlignment="1">
      <alignment horizontal="center" vertical="top"/>
    </xf>
    <xf numFmtId="0" fontId="64" fillId="0" borderId="37" xfId="0" applyFont="1" applyBorder="1"/>
    <xf numFmtId="0" fontId="64" fillId="0" borderId="0" xfId="0" applyFont="1"/>
    <xf numFmtId="0" fontId="4" fillId="0" borderId="52" xfId="0" quotePrefix="1" applyFont="1" applyBorder="1" applyAlignment="1" applyProtection="1">
      <alignment vertical="center" wrapText="1"/>
      <protection locked="0"/>
    </xf>
    <xf numFmtId="0" fontId="4" fillId="0" borderId="36" xfId="0" quotePrefix="1" applyFont="1" applyBorder="1" applyAlignment="1" applyProtection="1">
      <alignment vertical="center" wrapText="1"/>
      <protection locked="0"/>
    </xf>
    <xf numFmtId="0" fontId="16" fillId="24" borderId="82" xfId="0" applyFont="1" applyFill="1" applyBorder="1"/>
    <xf numFmtId="0" fontId="14" fillId="24" borderId="0" xfId="0" applyFont="1" applyFill="1" applyAlignment="1">
      <alignment horizontal="right"/>
    </xf>
    <xf numFmtId="0" fontId="0" fillId="24" borderId="0" xfId="0" applyFill="1" applyAlignment="1">
      <alignment horizontal="right"/>
    </xf>
    <xf numFmtId="0" fontId="16" fillId="24" borderId="82" xfId="0" applyFont="1" applyFill="1" applyBorder="1" applyAlignment="1">
      <alignment horizontal="left"/>
    </xf>
    <xf numFmtId="0" fontId="4" fillId="24" borderId="0" xfId="0" applyFont="1" applyFill="1" applyAlignment="1">
      <alignment horizontal="right"/>
    </xf>
    <xf numFmtId="0" fontId="16" fillId="24" borderId="82" xfId="0" applyFont="1" applyFill="1" applyBorder="1" applyAlignment="1" applyProtection="1">
      <alignment horizontal="left"/>
      <protection locked="0"/>
    </xf>
    <xf numFmtId="0" fontId="16" fillId="24" borderId="82" xfId="0" applyFont="1" applyFill="1" applyBorder="1" applyAlignment="1" applyProtection="1">
      <alignment horizontal="center"/>
      <protection locked="0"/>
    </xf>
    <xf numFmtId="0" fontId="25" fillId="24" borderId="82" xfId="0" applyFont="1" applyFill="1" applyBorder="1" applyAlignment="1">
      <alignment horizontal="center"/>
    </xf>
    <xf numFmtId="0" fontId="14" fillId="24" borderId="0" xfId="0" applyFont="1" applyFill="1" applyAlignment="1">
      <alignment horizontal="center"/>
    </xf>
    <xf numFmtId="0" fontId="0" fillId="24" borderId="82" xfId="0" applyFill="1" applyBorder="1" applyProtection="1">
      <protection locked="0"/>
    </xf>
    <xf numFmtId="0" fontId="29" fillId="24" borderId="82" xfId="0" applyFont="1" applyFill="1" applyBorder="1"/>
    <xf numFmtId="0" fontId="0" fillId="24" borderId="82" xfId="0" applyFill="1" applyBorder="1" applyAlignment="1">
      <alignment horizontal="left"/>
    </xf>
    <xf numFmtId="0" fontId="16" fillId="24" borderId="82" xfId="0" quotePrefix="1" applyFont="1" applyFill="1" applyBorder="1" applyAlignment="1">
      <alignment horizontal="right"/>
    </xf>
    <xf numFmtId="0" fontId="0" fillId="24" borderId="0" xfId="0" applyFill="1"/>
    <xf numFmtId="0" fontId="30" fillId="24" borderId="82" xfId="0" applyFont="1" applyFill="1" applyBorder="1" applyAlignment="1">
      <alignment horizontal="left"/>
    </xf>
    <xf numFmtId="0" fontId="30" fillId="24" borderId="82" xfId="0" applyFont="1" applyFill="1" applyBorder="1" applyAlignment="1">
      <alignment horizontal="center"/>
    </xf>
    <xf numFmtId="0" fontId="33" fillId="24" borderId="0" xfId="0" applyFont="1" applyFill="1" applyAlignment="1">
      <alignment vertical="center"/>
    </xf>
    <xf numFmtId="0" fontId="0" fillId="0" borderId="0" xfId="0" applyAlignment="1">
      <alignment vertical="center"/>
    </xf>
    <xf numFmtId="0" fontId="34" fillId="24" borderId="82" xfId="0" applyFont="1" applyFill="1" applyBorder="1" applyAlignment="1">
      <alignment horizontal="left" vertical="center"/>
    </xf>
    <xf numFmtId="0" fontId="30" fillId="24" borderId="82" xfId="0" applyFont="1" applyFill="1" applyBorder="1" applyProtection="1">
      <protection locked="0"/>
    </xf>
    <xf numFmtId="0" fontId="0" fillId="24" borderId="0" xfId="0" applyFill="1" applyAlignment="1">
      <alignment horizontal="left"/>
    </xf>
    <xf numFmtId="0" fontId="30" fillId="24" borderId="82" xfId="0" applyFont="1" applyFill="1" applyBorder="1"/>
    <xf numFmtId="14" fontId="16" fillId="24" borderId="82" xfId="0" applyNumberFormat="1" applyFont="1" applyFill="1" applyBorder="1" applyProtection="1">
      <protection locked="0"/>
    </xf>
    <xf numFmtId="0" fontId="16" fillId="24" borderId="82" xfId="0" quotePrefix="1" applyFont="1" applyFill="1" applyBorder="1" applyAlignment="1" applyProtection="1">
      <alignment horizontal="left"/>
      <protection locked="0"/>
    </xf>
    <xf numFmtId="0" fontId="16" fillId="24" borderId="82" xfId="0" quotePrefix="1" applyFont="1" applyFill="1" applyBorder="1" applyAlignment="1">
      <alignment horizontal="left"/>
    </xf>
    <xf numFmtId="0" fontId="7" fillId="24" borderId="82" xfId="0" applyFont="1" applyFill="1" applyBorder="1" applyAlignment="1">
      <alignment horizontal="left"/>
    </xf>
    <xf numFmtId="49" fontId="7" fillId="24" borderId="82" xfId="0" applyNumberFormat="1" applyFont="1" applyFill="1" applyBorder="1" applyAlignment="1">
      <alignment horizontal="center"/>
    </xf>
    <xf numFmtId="49" fontId="2" fillId="24" borderId="82" xfId="29" applyNumberFormat="1" applyFill="1" applyBorder="1" applyAlignment="1" applyProtection="1">
      <alignment horizontal="left"/>
    </xf>
    <xf numFmtId="49" fontId="16" fillId="24" borderId="82" xfId="0" applyNumberFormat="1" applyFont="1" applyFill="1" applyBorder="1" applyAlignment="1">
      <alignment horizontal="left"/>
    </xf>
    <xf numFmtId="0" fontId="7" fillId="24" borderId="82" xfId="0" applyFont="1" applyFill="1" applyBorder="1" applyAlignment="1">
      <alignment horizontal="center"/>
    </xf>
    <xf numFmtId="49" fontId="7" fillId="24" borderId="82" xfId="0" applyNumberFormat="1" applyFont="1" applyFill="1" applyBorder="1" applyAlignment="1">
      <alignment horizontal="left"/>
    </xf>
  </cellXfs>
  <cellStyles count="44">
    <cellStyle name="20% - Colore 1" xfId="1" xr:uid="{00000000-0005-0000-0000-000000000000}"/>
    <cellStyle name="20% - Colore 2" xfId="2" xr:uid="{00000000-0005-0000-0000-000001000000}"/>
    <cellStyle name="20% - Colore 3" xfId="3" xr:uid="{00000000-0005-0000-0000-000002000000}"/>
    <cellStyle name="20% - Colore 4" xfId="4" xr:uid="{00000000-0005-0000-0000-000003000000}"/>
    <cellStyle name="20% - Colore 5" xfId="5" xr:uid="{00000000-0005-0000-0000-000004000000}"/>
    <cellStyle name="20% - Colore 6" xfId="6" xr:uid="{00000000-0005-0000-0000-000005000000}"/>
    <cellStyle name="40% - Colore 1" xfId="7" xr:uid="{00000000-0005-0000-0000-000006000000}"/>
    <cellStyle name="40% - Colore 2" xfId="8" xr:uid="{00000000-0005-0000-0000-000007000000}"/>
    <cellStyle name="40% - Colore 3" xfId="9" xr:uid="{00000000-0005-0000-0000-000008000000}"/>
    <cellStyle name="40% - Colore 4" xfId="10" xr:uid="{00000000-0005-0000-0000-000009000000}"/>
    <cellStyle name="40% - Colore 5" xfId="11" xr:uid="{00000000-0005-0000-0000-00000A000000}"/>
    <cellStyle name="40% - Colore 6" xfId="12" xr:uid="{00000000-0005-0000-0000-00000B000000}"/>
    <cellStyle name="60% - Colore 1" xfId="13" xr:uid="{00000000-0005-0000-0000-00000C000000}"/>
    <cellStyle name="60% - Colore 2" xfId="14" xr:uid="{00000000-0005-0000-0000-00000D000000}"/>
    <cellStyle name="60% - Colore 3" xfId="15" xr:uid="{00000000-0005-0000-0000-00000E000000}"/>
    <cellStyle name="60% - Colore 4" xfId="16" xr:uid="{00000000-0005-0000-0000-00000F000000}"/>
    <cellStyle name="60% - Colore 5" xfId="17" xr:uid="{00000000-0005-0000-0000-000010000000}"/>
    <cellStyle name="60% - Colore 6" xfId="18" xr:uid="{00000000-0005-0000-0000-000011000000}"/>
    <cellStyle name="Calcolo" xfId="19" xr:uid="{00000000-0005-0000-0000-000012000000}"/>
    <cellStyle name="Cella collegata" xfId="20" xr:uid="{00000000-0005-0000-0000-000013000000}"/>
    <cellStyle name="Cella da controllare" xfId="21" xr:uid="{00000000-0005-0000-0000-000014000000}"/>
    <cellStyle name="Colore 1" xfId="22" xr:uid="{00000000-0005-0000-0000-000015000000}"/>
    <cellStyle name="Colore 2" xfId="23" xr:uid="{00000000-0005-0000-0000-000016000000}"/>
    <cellStyle name="Colore 3" xfId="24" xr:uid="{00000000-0005-0000-0000-000017000000}"/>
    <cellStyle name="Colore 4" xfId="25" xr:uid="{00000000-0005-0000-0000-000018000000}"/>
    <cellStyle name="Colore 5" xfId="26" xr:uid="{00000000-0005-0000-0000-000019000000}"/>
    <cellStyle name="Colore 6" xfId="27" xr:uid="{00000000-0005-0000-0000-00001A000000}"/>
    <cellStyle name="Hyperlink" xfId="29" builtinId="8"/>
    <cellStyle name="Input" xfId="28" xr:uid="{00000000-0005-0000-0000-00001B000000}"/>
    <cellStyle name="Neutrale" xfId="30" xr:uid="{00000000-0005-0000-0000-00001D000000}"/>
    <cellStyle name="Normal" xfId="0" builtinId="0"/>
    <cellStyle name="Nota" xfId="31" xr:uid="{00000000-0005-0000-0000-00001E000000}"/>
    <cellStyle name="Output" xfId="32" xr:uid="{00000000-0005-0000-0000-00001F000000}"/>
    <cellStyle name="Standard_Y400_7 A7965" xfId="33" xr:uid="{00000000-0005-0000-0000-000021000000}"/>
    <cellStyle name="Testo avviso" xfId="34" xr:uid="{00000000-0005-0000-0000-000022000000}"/>
    <cellStyle name="Testo descrittivo" xfId="35" xr:uid="{00000000-0005-0000-0000-000023000000}"/>
    <cellStyle name="Titolo" xfId="36" xr:uid="{00000000-0005-0000-0000-000024000000}"/>
    <cellStyle name="Titolo 1" xfId="37" xr:uid="{00000000-0005-0000-0000-000025000000}"/>
    <cellStyle name="Titolo 2" xfId="38" xr:uid="{00000000-0005-0000-0000-000026000000}"/>
    <cellStyle name="Titolo 3" xfId="39" xr:uid="{00000000-0005-0000-0000-000027000000}"/>
    <cellStyle name="Titolo 4" xfId="40" xr:uid="{00000000-0005-0000-0000-000028000000}"/>
    <cellStyle name="Totale" xfId="41" xr:uid="{00000000-0005-0000-0000-000029000000}"/>
    <cellStyle name="Valore non valido" xfId="42" xr:uid="{00000000-0005-0000-0000-00002A000000}"/>
    <cellStyle name="Valore valido" xfId="43" xr:uid="{00000000-0005-0000-0000-00002B000000}"/>
  </cellStyles>
  <dxfs count="45">
    <dxf>
      <font>
        <color indexed="10"/>
      </font>
    </dxf>
    <dxf>
      <font>
        <color indexed="53"/>
      </font>
    </dxf>
    <dxf>
      <font>
        <color indexed="17"/>
      </font>
    </dxf>
    <dxf>
      <fill>
        <patternFill>
          <bgColor rgb="FFFC5442"/>
        </patternFill>
      </fill>
    </dxf>
    <dxf>
      <font>
        <b val="0"/>
        <i/>
        <condense val="0"/>
        <extend val="0"/>
        <color indexed="12"/>
      </font>
    </dxf>
    <dxf>
      <font>
        <b val="0"/>
        <i/>
        <condense val="0"/>
        <extend val="0"/>
        <color indexed="12"/>
      </font>
    </dxf>
    <dxf>
      <fill>
        <patternFill>
          <bgColor indexed="42"/>
        </patternFill>
      </fill>
    </dxf>
    <dxf>
      <fill>
        <patternFill>
          <bgColor indexed="47"/>
        </patternFill>
      </fill>
    </dxf>
    <dxf>
      <fill>
        <patternFill>
          <bgColor indexed="45"/>
        </patternFill>
      </fill>
    </dxf>
    <dxf>
      <font>
        <condense val="0"/>
        <extend val="0"/>
        <u/>
        <color indexed="10"/>
      </font>
    </dxf>
    <dxf>
      <font>
        <condense val="0"/>
        <extend val="0"/>
        <u/>
        <color indexed="10"/>
      </font>
    </dxf>
    <dxf>
      <font>
        <b val="0"/>
        <i val="0"/>
        <strike val="0"/>
        <condense val="0"/>
        <extend val="0"/>
        <u val="none"/>
        <color auto="1"/>
      </font>
    </dxf>
    <dxf>
      <font>
        <condense val="0"/>
        <extend val="0"/>
        <color indexed="10"/>
      </font>
    </dxf>
    <dxf>
      <font>
        <condense val="0"/>
        <extend val="0"/>
        <color indexed="53"/>
      </font>
    </dxf>
    <dxf>
      <font>
        <condense val="0"/>
        <extend val="0"/>
        <color indexed="17"/>
      </font>
    </dxf>
    <dxf>
      <font>
        <condense val="0"/>
        <extend val="0"/>
        <color indexed="10"/>
      </font>
    </dxf>
    <dxf>
      <font>
        <condense val="0"/>
        <extend val="0"/>
        <color indexed="53"/>
      </font>
    </dxf>
    <dxf>
      <font>
        <condense val="0"/>
        <extend val="0"/>
        <color indexed="17"/>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ont>
        <b val="0"/>
        <i/>
        <condense val="0"/>
        <extend val="0"/>
        <color indexed="12"/>
      </font>
    </dxf>
    <dxf>
      <fill>
        <patternFill>
          <bgColor indexed="45"/>
        </patternFill>
      </fill>
    </dxf>
    <dxf>
      <fill>
        <patternFill>
          <bgColor indexed="42"/>
        </patternFill>
      </fill>
    </dxf>
    <dxf>
      <font>
        <b/>
        <i val="0"/>
        <condense val="0"/>
        <extend val="0"/>
        <color indexed="12"/>
      </font>
    </dxf>
    <dxf>
      <font>
        <b/>
        <i val="0"/>
        <condense val="0"/>
        <extend val="0"/>
        <color indexed="12"/>
      </font>
    </dxf>
    <dxf>
      <alignment horizontal="justify" vertical="bottom" textRotation="0" wrapText="0" indent="0" justifyLastLine="0" shrinkToFit="0" readingOrder="0"/>
    </dxf>
    <dxf>
      <alignment horizontal="justify" vertical="bottom" textRotation="0" wrapText="0" indent="0" justifyLastLine="0" shrinkToFit="0" readingOrder="0"/>
    </dxf>
    <dxf>
      <alignment horizontal="justify"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justify" vertical="bottom" textRotation="0" wrapText="0" indent="0" justifyLastLine="0" shrinkToFit="0" readingOrder="0"/>
    </dxf>
    <dxf>
      <font>
        <b/>
        <i val="0"/>
        <strike val="0"/>
        <condense val="0"/>
        <extend val="0"/>
        <outline val="0"/>
        <shadow val="0"/>
        <u val="none"/>
        <vertAlign val="baseline"/>
        <sz val="10"/>
        <color auto="1"/>
        <name val="Arial"/>
        <family val="2"/>
        <scheme val="none"/>
      </font>
      <border diagonalUp="0" diagonalDown="0">
        <left/>
        <right style="thin">
          <color indexed="64"/>
        </right>
        <top/>
        <bottom/>
        <vertical/>
        <horizontal/>
      </border>
    </dxf>
    <dxf>
      <border outline="0">
        <bottom style="thin">
          <color indexed="64"/>
        </bottom>
      </border>
    </dxf>
    <dxf>
      <font>
        <condense val="0"/>
        <extend val="0"/>
        <color indexed="9"/>
      </font>
      <fill>
        <patternFill>
          <bgColor indexed="45"/>
        </patternFill>
      </fill>
    </dxf>
    <dxf>
      <font>
        <condense val="0"/>
        <extend val="0"/>
        <color indexed="9"/>
      </font>
      <fill>
        <patternFill>
          <bgColor indexed="45"/>
        </patternFill>
      </fill>
    </dxf>
    <dxf>
      <font>
        <condense val="0"/>
        <extend val="0"/>
        <color indexed="9"/>
      </font>
      <fill>
        <patternFill>
          <bgColor indexed="45"/>
        </patternFill>
      </fill>
    </dxf>
    <dxf>
      <font>
        <b val="0"/>
        <i/>
        <condense val="0"/>
        <extend val="0"/>
        <color indexed="12"/>
      </font>
    </dxf>
    <dxf>
      <font>
        <condense val="0"/>
        <extend val="0"/>
        <u/>
        <color indexed="10"/>
      </font>
    </dxf>
    <dxf>
      <font>
        <b val="0"/>
        <i/>
        <condense val="0"/>
        <extend val="0"/>
        <color indexed="12"/>
      </font>
    </dxf>
    <dxf>
      <font>
        <condense val="0"/>
        <extend val="0"/>
        <u/>
        <color indexed="10"/>
      </font>
    </dxf>
    <dxf>
      <font>
        <condense val="0"/>
        <extend val="0"/>
        <u/>
        <color indexed="10"/>
      </font>
    </dxf>
    <dxf>
      <font>
        <b/>
        <i val="0"/>
        <condense val="0"/>
        <extend val="0"/>
        <color indexed="10"/>
      </font>
    </dxf>
    <dxf>
      <font>
        <b val="0"/>
        <i/>
        <condense val="0"/>
        <extend val="0"/>
        <color indexed="12"/>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C8C8C8"/>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C5442"/>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attachedToolbars" Target="attachedToolbars.bin"/><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5</xdr:col>
      <xdr:colOff>466725</xdr:colOff>
      <xdr:row>1</xdr:row>
      <xdr:rowOff>38101</xdr:rowOff>
    </xdr:from>
    <xdr:to>
      <xdr:col>5</xdr:col>
      <xdr:colOff>2400300</xdr:colOff>
      <xdr:row>1</xdr:row>
      <xdr:rowOff>727877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124950" y="342901"/>
          <a:ext cx="1933575" cy="689776"/>
        </a:xfrm>
        <a:prstGeom prst="rect">
          <a:avLst/>
        </a:prstGeom>
      </xdr:spPr>
    </xdr:pic>
    <xdr:clientData/>
  </xdr:twoCellAnchor>
  <xdr:twoCellAnchor>
    <xdr:from>
      <xdr:col>5</xdr:col>
      <xdr:colOff>28576</xdr:colOff>
      <xdr:row>5</xdr:row>
      <xdr:rowOff>142876</xdr:rowOff>
    </xdr:from>
    <xdr:to>
      <xdr:col>5</xdr:col>
      <xdr:colOff>1685926</xdr:colOff>
      <xdr:row>5</xdr:row>
      <xdr:rowOff>520764</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8686801" y="3495676"/>
          <a:ext cx="1657350" cy="377888"/>
        </a:xfrm>
        <a:prstGeom prst="rect">
          <a:avLst/>
        </a:prstGeom>
      </xdr:spPr>
    </xdr:pic>
    <xdr:clientData/>
  </xdr:twoCellAnchor>
  <xdr:twoCellAnchor>
    <xdr:from>
      <xdr:col>5</xdr:col>
      <xdr:colOff>38100</xdr:colOff>
      <xdr:row>5</xdr:row>
      <xdr:rowOff>352424</xdr:rowOff>
    </xdr:from>
    <xdr:to>
      <xdr:col>5</xdr:col>
      <xdr:colOff>1704975</xdr:colOff>
      <xdr:row>5</xdr:row>
      <xdr:rowOff>514349</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8696325" y="3705224"/>
          <a:ext cx="1666875" cy="161925"/>
        </a:xfrm>
        <a:prstGeom prst="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1895475</xdr:colOff>
      <xdr:row>5</xdr:row>
      <xdr:rowOff>19050</xdr:rowOff>
    </xdr:from>
    <xdr:to>
      <xdr:col>5</xdr:col>
      <xdr:colOff>3966223</xdr:colOff>
      <xdr:row>5</xdr:row>
      <xdr:rowOff>736320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stretch>
          <a:fillRect/>
        </a:stretch>
      </xdr:blipFill>
      <xdr:spPr>
        <a:xfrm>
          <a:off x="10553700" y="3371850"/>
          <a:ext cx="2070748" cy="717270"/>
        </a:xfrm>
        <a:prstGeom prst="rect">
          <a:avLst/>
        </a:prstGeom>
      </xdr:spPr>
    </xdr:pic>
    <xdr:clientData/>
  </xdr:twoCellAnchor>
  <xdr:twoCellAnchor>
    <xdr:from>
      <xdr:col>5</xdr:col>
      <xdr:colOff>1943100</xdr:colOff>
      <xdr:row>5</xdr:row>
      <xdr:rowOff>38099</xdr:rowOff>
    </xdr:from>
    <xdr:to>
      <xdr:col>5</xdr:col>
      <xdr:colOff>3971925</xdr:colOff>
      <xdr:row>5</xdr:row>
      <xdr:rowOff>514350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10601325" y="3390899"/>
          <a:ext cx="2028825" cy="476251"/>
        </a:xfrm>
        <a:prstGeom prst="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15240</xdr:colOff>
      <xdr:row>6</xdr:row>
      <xdr:rowOff>45720</xdr:rowOff>
    </xdr:from>
    <xdr:to>
      <xdr:col>5</xdr:col>
      <xdr:colOff>2156460</xdr:colOff>
      <xdr:row>6</xdr:row>
      <xdr:rowOff>2224071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a:stretch>
          <a:fillRect/>
        </a:stretch>
      </xdr:blipFill>
      <xdr:spPr>
        <a:xfrm>
          <a:off x="8923020" y="4160520"/>
          <a:ext cx="2141220" cy="2178351"/>
        </a:xfrm>
        <a:prstGeom prst="rect">
          <a:avLst/>
        </a:prstGeom>
      </xdr:spPr>
    </xdr:pic>
    <xdr:clientData/>
  </xdr:twoCellAnchor>
  <xdr:twoCellAnchor>
    <xdr:from>
      <xdr:col>5</xdr:col>
      <xdr:colOff>249116</xdr:colOff>
      <xdr:row>8</xdr:row>
      <xdr:rowOff>58616</xdr:rowOff>
    </xdr:from>
    <xdr:to>
      <xdr:col>5</xdr:col>
      <xdr:colOff>3720835</xdr:colOff>
      <xdr:row>8</xdr:row>
      <xdr:rowOff>2886809</xdr:rowOff>
    </xdr:to>
    <xdr:grpSp>
      <xdr:nvGrpSpPr>
        <xdr:cNvPr id="13" name="Gruppieren 12">
          <a:extLst>
            <a:ext uri="{FF2B5EF4-FFF2-40B4-BE49-F238E27FC236}">
              <a16:creationId xmlns:a16="http://schemas.microsoft.com/office/drawing/2014/main" id="{00000000-0008-0000-0000-00000D000000}"/>
            </a:ext>
          </a:extLst>
        </xdr:cNvPr>
        <xdr:cNvGrpSpPr/>
      </xdr:nvGrpSpPr>
      <xdr:grpSpPr>
        <a:xfrm>
          <a:off x="9154991" y="363416"/>
          <a:ext cx="3471719" cy="2828193"/>
          <a:chOff x="8916866" y="8777654"/>
          <a:chExt cx="3471719" cy="2828193"/>
        </a:xfrm>
      </xdr:grpSpPr>
      <xdr:pic>
        <xdr:nvPicPr>
          <xdr:cNvPr id="11" name="Grafik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5"/>
          <a:stretch>
            <a:fillRect/>
          </a:stretch>
        </xdr:blipFill>
        <xdr:spPr>
          <a:xfrm>
            <a:off x="8953500" y="11364059"/>
            <a:ext cx="3435085" cy="241788"/>
          </a:xfrm>
          <a:prstGeom prst="rect">
            <a:avLst/>
          </a:prstGeom>
        </xdr:spPr>
      </xdr:pic>
      <xdr:pic>
        <xdr:nvPicPr>
          <xdr:cNvPr id="12" name="Grafik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8916866" y="8777654"/>
            <a:ext cx="3253154" cy="235366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1</xdr:row>
      <xdr:rowOff>304800</xdr:rowOff>
    </xdr:to>
    <xdr:sp macro="" textlink="">
      <xdr:nvSpPr>
        <xdr:cNvPr id="3577" name="AutoShape 78" descr="430504819@21032011-18E3">
          <a:extLst>
            <a:ext uri="{FF2B5EF4-FFF2-40B4-BE49-F238E27FC236}">
              <a16:creationId xmlns:a16="http://schemas.microsoft.com/office/drawing/2014/main" id="{00000000-0008-0000-0700-0000F90D0000}"/>
            </a:ext>
          </a:extLst>
        </xdr:cNvPr>
        <xdr:cNvSpPr>
          <a:spLocks noChangeAspect="1" noChangeArrowheads="1"/>
        </xdr:cNvSpPr>
      </xdr:nvSpPr>
      <xdr:spPr bwMode="auto">
        <a:xfrm>
          <a:off x="0" y="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9525</xdr:colOff>
      <xdr:row>0</xdr:row>
      <xdr:rowOff>0</xdr:rowOff>
    </xdr:from>
    <xdr:to>
      <xdr:col>0</xdr:col>
      <xdr:colOff>1495425</xdr:colOff>
      <xdr:row>5</xdr:row>
      <xdr:rowOff>0</xdr:rowOff>
    </xdr:to>
    <xdr:pic>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 y="0"/>
          <a:ext cx="1485900" cy="849289"/>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22860</xdr:colOff>
          <xdr:row>51</xdr:row>
          <xdr:rowOff>7620</xdr:rowOff>
        </xdr:from>
        <xdr:to>
          <xdr:col>2</xdr:col>
          <xdr:colOff>2697480</xdr:colOff>
          <xdr:row>52</xdr:row>
          <xdr:rowOff>0</xdr:rowOff>
        </xdr:to>
        <xdr:sp macro="" textlink="">
          <xdr:nvSpPr>
            <xdr:cNvPr id="3154" name="CB_DimRepReason" hidden="1">
              <a:extLst>
                <a:ext uri="{63B3BB69-23CF-44E3-9099-C40C66FF867C}">
                  <a14:compatExt spid="_x0000_s3154"/>
                </a:ext>
                <a:ext uri="{FF2B5EF4-FFF2-40B4-BE49-F238E27FC236}">
                  <a16:creationId xmlns:a16="http://schemas.microsoft.com/office/drawing/2014/main" id="{00000000-0008-0000-0700-00005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15</xdr:col>
      <xdr:colOff>110728</xdr:colOff>
      <xdr:row>2</xdr:row>
      <xdr:rowOff>86916</xdr:rowOff>
    </xdr:from>
    <xdr:to>
      <xdr:col>15</xdr:col>
      <xdr:colOff>1848818</xdr:colOff>
      <xdr:row>3</xdr:row>
      <xdr:rowOff>607219</xdr:rowOff>
    </xdr:to>
    <xdr:pic>
      <xdr:nvPicPr>
        <xdr:cNvPr id="32" name="Picture 31">
          <a:extLst>
            <a:ext uri="{FF2B5EF4-FFF2-40B4-BE49-F238E27FC236}">
              <a16:creationId xmlns:a16="http://schemas.microsoft.com/office/drawing/2014/main" id="{00000000-0008-0000-0800-000020000000}"/>
            </a:ext>
          </a:extLst>
        </xdr:cNvPr>
        <xdr:cNvPicPr>
          <a:picLocks noChangeAspect="1"/>
        </xdr:cNvPicPr>
      </xdr:nvPicPr>
      <xdr:blipFill>
        <a:blip xmlns:r="http://schemas.openxmlformats.org/officeDocument/2006/relationships" r:embed="rId1"/>
        <a:stretch>
          <a:fillRect/>
        </a:stretch>
      </xdr:blipFill>
      <xdr:spPr>
        <a:xfrm>
          <a:off x="12838509" y="444104"/>
          <a:ext cx="1738090" cy="10620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161925</xdr:colOff>
      <xdr:row>47</xdr:row>
      <xdr:rowOff>142875</xdr:rowOff>
    </xdr:from>
    <xdr:to>
      <xdr:col>13</xdr:col>
      <xdr:colOff>123825</xdr:colOff>
      <xdr:row>137</xdr:row>
      <xdr:rowOff>47625</xdr:rowOff>
    </xdr:to>
    <xdr:pic>
      <xdr:nvPicPr>
        <xdr:cNvPr id="12669" name="Picture 1">
          <a:extLst>
            <a:ext uri="{FF2B5EF4-FFF2-40B4-BE49-F238E27FC236}">
              <a16:creationId xmlns:a16="http://schemas.microsoft.com/office/drawing/2014/main" id="{00000000-0008-0000-0C00-00007D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7991475"/>
          <a:ext cx="9496425" cy="14478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285750</xdr:colOff>
      <xdr:row>91</xdr:row>
      <xdr:rowOff>114300</xdr:rowOff>
    </xdr:from>
    <xdr:to>
      <xdr:col>9</xdr:col>
      <xdr:colOff>685800</xdr:colOff>
      <xdr:row>99</xdr:row>
      <xdr:rowOff>114300</xdr:rowOff>
    </xdr:to>
    <xdr:sp macro="" textlink="">
      <xdr:nvSpPr>
        <xdr:cNvPr id="12290" name="Text Box 2">
          <a:extLst>
            <a:ext uri="{FF2B5EF4-FFF2-40B4-BE49-F238E27FC236}">
              <a16:creationId xmlns:a16="http://schemas.microsoft.com/office/drawing/2014/main" id="{00000000-0008-0000-0C00-000002300000}"/>
            </a:ext>
          </a:extLst>
        </xdr:cNvPr>
        <xdr:cNvSpPr txBox="1">
          <a:spLocks noChangeArrowheads="1"/>
        </xdr:cNvSpPr>
      </xdr:nvSpPr>
      <xdr:spPr bwMode="auto">
        <a:xfrm>
          <a:off x="2486025" y="14925675"/>
          <a:ext cx="4800600" cy="1295400"/>
        </a:xfrm>
        <a:prstGeom prst="rect">
          <a:avLst/>
        </a:prstGeom>
        <a:solidFill>
          <a:srgbClr xmlns:mc="http://schemas.openxmlformats.org/markup-compatibility/2006" xmlns:a14="http://schemas.microsoft.com/office/drawing/2010/main" val="FFFFFF" mc:Ignorable="a14" a14:legacySpreadsheetColorIndex="65">
            <a:alpha val="0"/>
          </a:srgbClr>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137160" tIns="109728" rIns="0" bIns="0" anchor="t" upright="1"/>
        <a:lstStyle/>
        <a:p>
          <a:pPr algn="l" rtl="0">
            <a:defRPr sz="1000"/>
          </a:pPr>
          <a:r>
            <a:rPr lang="de-DE" sz="7200" b="0" i="0" u="none" strike="noStrike" baseline="0">
              <a:solidFill>
                <a:srgbClr val="969696"/>
              </a:solidFill>
              <a:latin typeface="Arial"/>
              <a:cs typeface="Arial"/>
            </a:rPr>
            <a:t>Example</a:t>
          </a:r>
        </a:p>
      </xdr:txBody>
    </xdr:sp>
    <xdr:clientData/>
  </xdr:twoCellAnchor>
  <xdr:twoCellAnchor editAs="oneCell">
    <xdr:from>
      <xdr:col>4</xdr:col>
      <xdr:colOff>296636</xdr:colOff>
      <xdr:row>34</xdr:row>
      <xdr:rowOff>13607</xdr:rowOff>
    </xdr:from>
    <xdr:to>
      <xdr:col>13</xdr:col>
      <xdr:colOff>619620</xdr:colOff>
      <xdr:row>47</xdr:row>
      <xdr:rowOff>37807</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2"/>
        <a:srcRect t="1627"/>
        <a:stretch/>
      </xdr:blipFill>
      <xdr:spPr>
        <a:xfrm>
          <a:off x="3235779" y="5633357"/>
          <a:ext cx="6936055" cy="232380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36</xdr:row>
          <xdr:rowOff>7620</xdr:rowOff>
        </xdr:from>
        <xdr:to>
          <xdr:col>1</xdr:col>
          <xdr:colOff>335280</xdr:colOff>
          <xdr:row>37</xdr:row>
          <xdr:rowOff>60960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37</xdr:row>
          <xdr:rowOff>7620</xdr:rowOff>
        </xdr:from>
        <xdr:to>
          <xdr:col>1</xdr:col>
          <xdr:colOff>335280</xdr:colOff>
          <xdr:row>38</xdr:row>
          <xdr:rowOff>60960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id="{00000000-0008-0000-0E00-000002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38</xdr:row>
          <xdr:rowOff>7620</xdr:rowOff>
        </xdr:from>
        <xdr:to>
          <xdr:col>1</xdr:col>
          <xdr:colOff>335280</xdr:colOff>
          <xdr:row>39</xdr:row>
          <xdr:rowOff>60960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E00-00000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39</xdr:row>
          <xdr:rowOff>7620</xdr:rowOff>
        </xdr:from>
        <xdr:to>
          <xdr:col>1</xdr:col>
          <xdr:colOff>335280</xdr:colOff>
          <xdr:row>40</xdr:row>
          <xdr:rowOff>60960</xdr:rowOff>
        </xdr:to>
        <xdr:sp macro="" textlink="">
          <xdr:nvSpPr>
            <xdr:cNvPr id="10244" name="Check Box 4" hidden="1">
              <a:extLst>
                <a:ext uri="{63B3BB69-23CF-44E3-9099-C40C66FF867C}">
                  <a14:compatExt spid="_x0000_s10244"/>
                </a:ext>
                <a:ext uri="{FF2B5EF4-FFF2-40B4-BE49-F238E27FC236}">
                  <a16:creationId xmlns:a16="http://schemas.microsoft.com/office/drawing/2014/main" id="{00000000-0008-0000-0E00-00000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40</xdr:row>
          <xdr:rowOff>7620</xdr:rowOff>
        </xdr:from>
        <xdr:to>
          <xdr:col>1</xdr:col>
          <xdr:colOff>335280</xdr:colOff>
          <xdr:row>41</xdr:row>
          <xdr:rowOff>60960</xdr:rowOff>
        </xdr:to>
        <xdr:sp macro="" textlink="">
          <xdr:nvSpPr>
            <xdr:cNvPr id="10245" name="Check Box 5" hidden="1">
              <a:extLst>
                <a:ext uri="{63B3BB69-23CF-44E3-9099-C40C66FF867C}">
                  <a14:compatExt spid="_x0000_s10245"/>
                </a:ext>
                <a:ext uri="{FF2B5EF4-FFF2-40B4-BE49-F238E27FC236}">
                  <a16:creationId xmlns:a16="http://schemas.microsoft.com/office/drawing/2014/main" id="{00000000-0008-0000-0E00-000005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38</xdr:row>
          <xdr:rowOff>7620</xdr:rowOff>
        </xdr:from>
        <xdr:to>
          <xdr:col>12</xdr:col>
          <xdr:colOff>335280</xdr:colOff>
          <xdr:row>39</xdr:row>
          <xdr:rowOff>60960</xdr:rowOff>
        </xdr:to>
        <xdr:sp macro="" textlink="">
          <xdr:nvSpPr>
            <xdr:cNvPr id="10246" name="Check Box 6" hidden="1">
              <a:extLst>
                <a:ext uri="{63B3BB69-23CF-44E3-9099-C40C66FF867C}">
                  <a14:compatExt spid="_x0000_s10246"/>
                </a:ext>
                <a:ext uri="{FF2B5EF4-FFF2-40B4-BE49-F238E27FC236}">
                  <a16:creationId xmlns:a16="http://schemas.microsoft.com/office/drawing/2014/main" id="{00000000-0008-0000-0E00-00000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37</xdr:row>
          <xdr:rowOff>7620</xdr:rowOff>
        </xdr:from>
        <xdr:to>
          <xdr:col>12</xdr:col>
          <xdr:colOff>335280</xdr:colOff>
          <xdr:row>38</xdr:row>
          <xdr:rowOff>60960</xdr:rowOff>
        </xdr:to>
        <xdr:sp macro="" textlink="">
          <xdr:nvSpPr>
            <xdr:cNvPr id="10247" name="Check Box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36</xdr:row>
          <xdr:rowOff>7620</xdr:rowOff>
        </xdr:from>
        <xdr:to>
          <xdr:col>12</xdr:col>
          <xdr:colOff>335280</xdr:colOff>
          <xdr:row>37</xdr:row>
          <xdr:rowOff>60960</xdr:rowOff>
        </xdr:to>
        <xdr:sp macro="" textlink="">
          <xdr:nvSpPr>
            <xdr:cNvPr id="10248" name="Check Box 8" hidden="1">
              <a:extLst>
                <a:ext uri="{63B3BB69-23CF-44E3-9099-C40C66FF867C}">
                  <a14:compatExt spid="_x0000_s10248"/>
                </a:ext>
                <a:ext uri="{FF2B5EF4-FFF2-40B4-BE49-F238E27FC236}">
                  <a16:creationId xmlns:a16="http://schemas.microsoft.com/office/drawing/2014/main" id="{00000000-0008-0000-0E00-00000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47</xdr:row>
          <xdr:rowOff>0</xdr:rowOff>
        </xdr:from>
        <xdr:to>
          <xdr:col>1</xdr:col>
          <xdr:colOff>335280</xdr:colOff>
          <xdr:row>48</xdr:row>
          <xdr:rowOff>45720</xdr:rowOff>
        </xdr:to>
        <xdr:sp macro="" textlink="">
          <xdr:nvSpPr>
            <xdr:cNvPr id="10249" name="Check Box 9" hidden="1">
              <a:extLst>
                <a:ext uri="{63B3BB69-23CF-44E3-9099-C40C66FF867C}">
                  <a14:compatExt spid="_x0000_s10249"/>
                </a:ext>
                <a:ext uri="{FF2B5EF4-FFF2-40B4-BE49-F238E27FC236}">
                  <a16:creationId xmlns:a16="http://schemas.microsoft.com/office/drawing/2014/main" id="{00000000-0008-0000-0E00-000009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45</xdr:row>
          <xdr:rowOff>0</xdr:rowOff>
        </xdr:from>
        <xdr:to>
          <xdr:col>1</xdr:col>
          <xdr:colOff>335280</xdr:colOff>
          <xdr:row>46</xdr:row>
          <xdr:rowOff>45720</xdr:rowOff>
        </xdr:to>
        <xdr:sp macro="" textlink="">
          <xdr:nvSpPr>
            <xdr:cNvPr id="10250" name="Check Box 10" hidden="1">
              <a:extLst>
                <a:ext uri="{63B3BB69-23CF-44E3-9099-C40C66FF867C}">
                  <a14:compatExt spid="_x0000_s10250"/>
                </a:ext>
                <a:ext uri="{FF2B5EF4-FFF2-40B4-BE49-F238E27FC236}">
                  <a16:creationId xmlns:a16="http://schemas.microsoft.com/office/drawing/2014/main" id="{00000000-0008-0000-0E00-00000A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43</xdr:row>
          <xdr:rowOff>0</xdr:rowOff>
        </xdr:from>
        <xdr:to>
          <xdr:col>1</xdr:col>
          <xdr:colOff>335280</xdr:colOff>
          <xdr:row>44</xdr:row>
          <xdr:rowOff>45720</xdr:rowOff>
        </xdr:to>
        <xdr:sp macro="" textlink="">
          <xdr:nvSpPr>
            <xdr:cNvPr id="10251" name="Check Box 11" hidden="1">
              <a:extLst>
                <a:ext uri="{63B3BB69-23CF-44E3-9099-C40C66FF867C}">
                  <a14:compatExt spid="_x0000_s10251"/>
                </a:ext>
                <a:ext uri="{FF2B5EF4-FFF2-40B4-BE49-F238E27FC236}">
                  <a16:creationId xmlns:a16="http://schemas.microsoft.com/office/drawing/2014/main" id="{00000000-0008-0000-0E00-00000B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39</xdr:row>
          <xdr:rowOff>7620</xdr:rowOff>
        </xdr:from>
        <xdr:to>
          <xdr:col>12</xdr:col>
          <xdr:colOff>335280</xdr:colOff>
          <xdr:row>40</xdr:row>
          <xdr:rowOff>60960</xdr:rowOff>
        </xdr:to>
        <xdr:sp macro="" textlink="">
          <xdr:nvSpPr>
            <xdr:cNvPr id="10252" name="Check Box 12" hidden="1">
              <a:extLst>
                <a:ext uri="{63B3BB69-23CF-44E3-9099-C40C66FF867C}">
                  <a14:compatExt spid="_x0000_s10252"/>
                </a:ext>
                <a:ext uri="{FF2B5EF4-FFF2-40B4-BE49-F238E27FC236}">
                  <a16:creationId xmlns:a16="http://schemas.microsoft.com/office/drawing/2014/main" id="{00000000-0008-0000-0E00-00000C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13</xdr:row>
          <xdr:rowOff>60960</xdr:rowOff>
        </xdr:from>
        <xdr:to>
          <xdr:col>7</xdr:col>
          <xdr:colOff>327660</xdr:colOff>
          <xdr:row>14</xdr:row>
          <xdr:rowOff>106680</xdr:rowOff>
        </xdr:to>
        <xdr:sp macro="" textlink="">
          <xdr:nvSpPr>
            <xdr:cNvPr id="10253" name="Check Box 13" hidden="1">
              <a:extLst>
                <a:ext uri="{63B3BB69-23CF-44E3-9099-C40C66FF867C}">
                  <a14:compatExt spid="_x0000_s10253"/>
                </a:ext>
                <a:ext uri="{FF2B5EF4-FFF2-40B4-BE49-F238E27FC236}">
                  <a16:creationId xmlns:a16="http://schemas.microsoft.com/office/drawing/2014/main" id="{00000000-0008-0000-0E00-00000D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Yes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60960</xdr:colOff>
          <xdr:row>13</xdr:row>
          <xdr:rowOff>60960</xdr:rowOff>
        </xdr:from>
        <xdr:to>
          <xdr:col>9</xdr:col>
          <xdr:colOff>68580</xdr:colOff>
          <xdr:row>14</xdr:row>
          <xdr:rowOff>106680</xdr:rowOff>
        </xdr:to>
        <xdr:sp macro="" textlink="">
          <xdr:nvSpPr>
            <xdr:cNvPr id="10254" name="Check Box 14" hidden="1">
              <a:extLst>
                <a:ext uri="{63B3BB69-23CF-44E3-9099-C40C66FF867C}">
                  <a14:compatExt spid="_x0000_s10254"/>
                </a:ext>
                <a:ext uri="{FF2B5EF4-FFF2-40B4-BE49-F238E27FC236}">
                  <a16:creationId xmlns:a16="http://schemas.microsoft.com/office/drawing/2014/main" id="{00000000-0008-0000-0E00-00000E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No</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40</xdr:row>
          <xdr:rowOff>7620</xdr:rowOff>
        </xdr:from>
        <xdr:to>
          <xdr:col>12</xdr:col>
          <xdr:colOff>335280</xdr:colOff>
          <xdr:row>41</xdr:row>
          <xdr:rowOff>60960</xdr:rowOff>
        </xdr:to>
        <xdr:sp macro="" textlink="">
          <xdr:nvSpPr>
            <xdr:cNvPr id="10255" name="Check Box 15" hidden="1">
              <a:extLst>
                <a:ext uri="{63B3BB69-23CF-44E3-9099-C40C66FF867C}">
                  <a14:compatExt spid="_x0000_s10255"/>
                </a:ext>
                <a:ext uri="{FF2B5EF4-FFF2-40B4-BE49-F238E27FC236}">
                  <a16:creationId xmlns:a16="http://schemas.microsoft.com/office/drawing/2014/main" id="{00000000-0008-0000-0E00-00000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43</xdr:row>
          <xdr:rowOff>0</xdr:rowOff>
        </xdr:from>
        <xdr:to>
          <xdr:col>1</xdr:col>
          <xdr:colOff>335280</xdr:colOff>
          <xdr:row>44</xdr:row>
          <xdr:rowOff>45720</xdr:rowOff>
        </xdr:to>
        <xdr:sp macro="" textlink="">
          <xdr:nvSpPr>
            <xdr:cNvPr id="10256" name="Check Box 16" hidden="1">
              <a:extLst>
                <a:ext uri="{63B3BB69-23CF-44E3-9099-C40C66FF867C}">
                  <a14:compatExt spid="_x0000_s10256"/>
                </a:ext>
                <a:ext uri="{FF2B5EF4-FFF2-40B4-BE49-F238E27FC236}">
                  <a16:creationId xmlns:a16="http://schemas.microsoft.com/office/drawing/2014/main" id="{00000000-0008-0000-0E00-000010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85725</xdr:colOff>
      <xdr:row>44</xdr:row>
      <xdr:rowOff>47625</xdr:rowOff>
    </xdr:from>
    <xdr:to>
      <xdr:col>1</xdr:col>
      <xdr:colOff>200025</xdr:colOff>
      <xdr:row>44</xdr:row>
      <xdr:rowOff>47625</xdr:rowOff>
    </xdr:to>
    <xdr:sp macro="" textlink="">
      <xdr:nvSpPr>
        <xdr:cNvPr id="17632" name="Line 17">
          <a:extLst>
            <a:ext uri="{FF2B5EF4-FFF2-40B4-BE49-F238E27FC236}">
              <a16:creationId xmlns:a16="http://schemas.microsoft.com/office/drawing/2014/main" id="{00000000-0008-0000-0E00-0000E0440000}"/>
            </a:ext>
          </a:extLst>
        </xdr:cNvPr>
        <xdr:cNvSpPr>
          <a:spLocks noChangeShapeType="1"/>
        </xdr:cNvSpPr>
      </xdr:nvSpPr>
      <xdr:spPr bwMode="auto">
        <a:xfrm>
          <a:off x="466725" y="7343775"/>
          <a:ext cx="114300" cy="0"/>
        </a:xfrm>
        <a:prstGeom prst="line">
          <a:avLst/>
        </a:prstGeom>
        <a:noFill/>
        <a:ln w="9525">
          <a:solidFill>
            <a:srgbClr xmlns:mc="http://schemas.openxmlformats.org/markup-compatibility/2006" xmlns:a14="http://schemas.microsoft.com/office/drawing/2010/main" val="969696" mc:Ignorable="a14" a14:legacySpreadsheetColorIndex="55"/>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44</xdr:row>
      <xdr:rowOff>161925</xdr:rowOff>
    </xdr:from>
    <xdr:to>
      <xdr:col>1</xdr:col>
      <xdr:colOff>200025</xdr:colOff>
      <xdr:row>44</xdr:row>
      <xdr:rowOff>161925</xdr:rowOff>
    </xdr:to>
    <xdr:sp macro="" textlink="">
      <xdr:nvSpPr>
        <xdr:cNvPr id="17633" name="Line 18">
          <a:extLst>
            <a:ext uri="{FF2B5EF4-FFF2-40B4-BE49-F238E27FC236}">
              <a16:creationId xmlns:a16="http://schemas.microsoft.com/office/drawing/2014/main" id="{00000000-0008-0000-0E00-0000E1440000}"/>
            </a:ext>
          </a:extLst>
        </xdr:cNvPr>
        <xdr:cNvSpPr>
          <a:spLocks noChangeShapeType="1"/>
        </xdr:cNvSpPr>
      </xdr:nvSpPr>
      <xdr:spPr bwMode="auto">
        <a:xfrm>
          <a:off x="466725" y="7458075"/>
          <a:ext cx="114300" cy="0"/>
        </a:xfrm>
        <a:prstGeom prst="line">
          <a:avLst/>
        </a:prstGeom>
        <a:noFill/>
        <a:ln w="9525">
          <a:solidFill>
            <a:srgbClr xmlns:mc="http://schemas.openxmlformats.org/markup-compatibility/2006" xmlns:a14="http://schemas.microsoft.com/office/drawing/2010/main" val="969696" mc:Ignorable="a14" a14:legacySpreadsheetColorIndex="55"/>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44</xdr:row>
      <xdr:rowOff>47625</xdr:rowOff>
    </xdr:from>
    <xdr:to>
      <xdr:col>1</xdr:col>
      <xdr:colOff>85725</xdr:colOff>
      <xdr:row>44</xdr:row>
      <xdr:rowOff>161925</xdr:rowOff>
    </xdr:to>
    <xdr:sp macro="" textlink="">
      <xdr:nvSpPr>
        <xdr:cNvPr id="17634" name="Line 19">
          <a:extLst>
            <a:ext uri="{FF2B5EF4-FFF2-40B4-BE49-F238E27FC236}">
              <a16:creationId xmlns:a16="http://schemas.microsoft.com/office/drawing/2014/main" id="{00000000-0008-0000-0E00-0000E2440000}"/>
            </a:ext>
          </a:extLst>
        </xdr:cNvPr>
        <xdr:cNvSpPr>
          <a:spLocks noChangeShapeType="1"/>
        </xdr:cNvSpPr>
      </xdr:nvSpPr>
      <xdr:spPr bwMode="auto">
        <a:xfrm>
          <a:off x="466725" y="7343775"/>
          <a:ext cx="0" cy="114300"/>
        </a:xfrm>
        <a:prstGeom prst="line">
          <a:avLst/>
        </a:prstGeom>
        <a:noFill/>
        <a:ln w="9525">
          <a:solidFill>
            <a:srgbClr xmlns:mc="http://schemas.openxmlformats.org/markup-compatibility/2006" xmlns:a14="http://schemas.microsoft.com/office/drawing/2010/main" val="969696" mc:Ignorable="a14" a14:legacySpreadsheetColorIndex="55"/>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200025</xdr:colOff>
      <xdr:row>44</xdr:row>
      <xdr:rowOff>47625</xdr:rowOff>
    </xdr:from>
    <xdr:to>
      <xdr:col>1</xdr:col>
      <xdr:colOff>200025</xdr:colOff>
      <xdr:row>44</xdr:row>
      <xdr:rowOff>161925</xdr:rowOff>
    </xdr:to>
    <xdr:sp macro="" textlink="">
      <xdr:nvSpPr>
        <xdr:cNvPr id="17635" name="Line 20">
          <a:extLst>
            <a:ext uri="{FF2B5EF4-FFF2-40B4-BE49-F238E27FC236}">
              <a16:creationId xmlns:a16="http://schemas.microsoft.com/office/drawing/2014/main" id="{00000000-0008-0000-0E00-0000E3440000}"/>
            </a:ext>
          </a:extLst>
        </xdr:cNvPr>
        <xdr:cNvSpPr>
          <a:spLocks noChangeShapeType="1"/>
        </xdr:cNvSpPr>
      </xdr:nvSpPr>
      <xdr:spPr bwMode="auto">
        <a:xfrm>
          <a:off x="581025" y="7343775"/>
          <a:ext cx="0" cy="114300"/>
        </a:xfrm>
        <a:prstGeom prst="line">
          <a:avLst/>
        </a:prstGeom>
        <a:noFill/>
        <a:ln w="9525">
          <a:solidFill>
            <a:srgbClr xmlns:mc="http://schemas.openxmlformats.org/markup-compatibility/2006" xmlns:a14="http://schemas.microsoft.com/office/drawing/2010/main" val="969696" mc:Ignorable="a14" a14:legacySpreadsheetColorIndex="55"/>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38100</xdr:colOff>
          <xdr:row>45</xdr:row>
          <xdr:rowOff>0</xdr:rowOff>
        </xdr:from>
        <xdr:to>
          <xdr:col>1</xdr:col>
          <xdr:colOff>335280</xdr:colOff>
          <xdr:row>46</xdr:row>
          <xdr:rowOff>45720</xdr:rowOff>
        </xdr:to>
        <xdr:sp macro="" textlink="">
          <xdr:nvSpPr>
            <xdr:cNvPr id="10261" name="Check Box 21" hidden="1">
              <a:extLst>
                <a:ext uri="{63B3BB69-23CF-44E3-9099-C40C66FF867C}">
                  <a14:compatExt spid="_x0000_s10261"/>
                </a:ext>
                <a:ext uri="{FF2B5EF4-FFF2-40B4-BE49-F238E27FC236}">
                  <a16:creationId xmlns:a16="http://schemas.microsoft.com/office/drawing/2014/main" id="{00000000-0008-0000-0E00-000015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45</xdr:row>
          <xdr:rowOff>0</xdr:rowOff>
        </xdr:from>
        <xdr:to>
          <xdr:col>1</xdr:col>
          <xdr:colOff>335280</xdr:colOff>
          <xdr:row>46</xdr:row>
          <xdr:rowOff>45720</xdr:rowOff>
        </xdr:to>
        <xdr:sp macro="" textlink="">
          <xdr:nvSpPr>
            <xdr:cNvPr id="10262" name="Check Box 22" hidden="1">
              <a:extLst>
                <a:ext uri="{63B3BB69-23CF-44E3-9099-C40C66FF867C}">
                  <a14:compatExt spid="_x0000_s10262"/>
                </a:ext>
                <a:ext uri="{FF2B5EF4-FFF2-40B4-BE49-F238E27FC236}">
                  <a16:creationId xmlns:a16="http://schemas.microsoft.com/office/drawing/2014/main" id="{00000000-0008-0000-0E00-00001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45</xdr:row>
          <xdr:rowOff>0</xdr:rowOff>
        </xdr:from>
        <xdr:to>
          <xdr:col>1</xdr:col>
          <xdr:colOff>335280</xdr:colOff>
          <xdr:row>46</xdr:row>
          <xdr:rowOff>45720</xdr:rowOff>
        </xdr:to>
        <xdr:sp macro="" textlink="">
          <xdr:nvSpPr>
            <xdr:cNvPr id="10263" name="Check Box 23" hidden="1">
              <a:extLst>
                <a:ext uri="{63B3BB69-23CF-44E3-9099-C40C66FF867C}">
                  <a14:compatExt spid="_x0000_s10263"/>
                </a:ext>
                <a:ext uri="{FF2B5EF4-FFF2-40B4-BE49-F238E27FC236}">
                  <a16:creationId xmlns:a16="http://schemas.microsoft.com/office/drawing/2014/main" id="{00000000-0008-0000-0E00-00001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85725</xdr:colOff>
      <xdr:row>46</xdr:row>
      <xdr:rowOff>47625</xdr:rowOff>
    </xdr:from>
    <xdr:to>
      <xdr:col>1</xdr:col>
      <xdr:colOff>200025</xdr:colOff>
      <xdr:row>46</xdr:row>
      <xdr:rowOff>47625</xdr:rowOff>
    </xdr:to>
    <xdr:sp macro="" textlink="">
      <xdr:nvSpPr>
        <xdr:cNvPr id="17636" name="Line 24">
          <a:extLst>
            <a:ext uri="{FF2B5EF4-FFF2-40B4-BE49-F238E27FC236}">
              <a16:creationId xmlns:a16="http://schemas.microsoft.com/office/drawing/2014/main" id="{00000000-0008-0000-0E00-0000E4440000}"/>
            </a:ext>
          </a:extLst>
        </xdr:cNvPr>
        <xdr:cNvSpPr>
          <a:spLocks noChangeShapeType="1"/>
        </xdr:cNvSpPr>
      </xdr:nvSpPr>
      <xdr:spPr bwMode="auto">
        <a:xfrm>
          <a:off x="466725" y="7667625"/>
          <a:ext cx="114300" cy="0"/>
        </a:xfrm>
        <a:prstGeom prst="line">
          <a:avLst/>
        </a:prstGeom>
        <a:noFill/>
        <a:ln w="9525">
          <a:solidFill>
            <a:srgbClr xmlns:mc="http://schemas.openxmlformats.org/markup-compatibility/2006" xmlns:a14="http://schemas.microsoft.com/office/drawing/2010/main" val="969696" mc:Ignorable="a14" a14:legacySpreadsheetColorIndex="55"/>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46</xdr:row>
      <xdr:rowOff>161925</xdr:rowOff>
    </xdr:from>
    <xdr:to>
      <xdr:col>1</xdr:col>
      <xdr:colOff>200025</xdr:colOff>
      <xdr:row>46</xdr:row>
      <xdr:rowOff>161925</xdr:rowOff>
    </xdr:to>
    <xdr:sp macro="" textlink="">
      <xdr:nvSpPr>
        <xdr:cNvPr id="17637" name="Line 25">
          <a:extLst>
            <a:ext uri="{FF2B5EF4-FFF2-40B4-BE49-F238E27FC236}">
              <a16:creationId xmlns:a16="http://schemas.microsoft.com/office/drawing/2014/main" id="{00000000-0008-0000-0E00-0000E5440000}"/>
            </a:ext>
          </a:extLst>
        </xdr:cNvPr>
        <xdr:cNvSpPr>
          <a:spLocks noChangeShapeType="1"/>
        </xdr:cNvSpPr>
      </xdr:nvSpPr>
      <xdr:spPr bwMode="auto">
        <a:xfrm>
          <a:off x="466725" y="7781925"/>
          <a:ext cx="114300" cy="0"/>
        </a:xfrm>
        <a:prstGeom prst="line">
          <a:avLst/>
        </a:prstGeom>
        <a:noFill/>
        <a:ln w="9525">
          <a:solidFill>
            <a:srgbClr xmlns:mc="http://schemas.openxmlformats.org/markup-compatibility/2006" xmlns:a14="http://schemas.microsoft.com/office/drawing/2010/main" val="969696" mc:Ignorable="a14" a14:legacySpreadsheetColorIndex="55"/>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46</xdr:row>
      <xdr:rowOff>47625</xdr:rowOff>
    </xdr:from>
    <xdr:to>
      <xdr:col>1</xdr:col>
      <xdr:colOff>85725</xdr:colOff>
      <xdr:row>46</xdr:row>
      <xdr:rowOff>161925</xdr:rowOff>
    </xdr:to>
    <xdr:sp macro="" textlink="">
      <xdr:nvSpPr>
        <xdr:cNvPr id="17638" name="Line 26">
          <a:extLst>
            <a:ext uri="{FF2B5EF4-FFF2-40B4-BE49-F238E27FC236}">
              <a16:creationId xmlns:a16="http://schemas.microsoft.com/office/drawing/2014/main" id="{00000000-0008-0000-0E00-0000E6440000}"/>
            </a:ext>
          </a:extLst>
        </xdr:cNvPr>
        <xdr:cNvSpPr>
          <a:spLocks noChangeShapeType="1"/>
        </xdr:cNvSpPr>
      </xdr:nvSpPr>
      <xdr:spPr bwMode="auto">
        <a:xfrm>
          <a:off x="466725" y="7667625"/>
          <a:ext cx="0" cy="114300"/>
        </a:xfrm>
        <a:prstGeom prst="line">
          <a:avLst/>
        </a:prstGeom>
        <a:noFill/>
        <a:ln w="9525">
          <a:solidFill>
            <a:srgbClr xmlns:mc="http://schemas.openxmlformats.org/markup-compatibility/2006" xmlns:a14="http://schemas.microsoft.com/office/drawing/2010/main" val="969696" mc:Ignorable="a14" a14:legacySpreadsheetColorIndex="55"/>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200025</xdr:colOff>
      <xdr:row>46</xdr:row>
      <xdr:rowOff>47625</xdr:rowOff>
    </xdr:from>
    <xdr:to>
      <xdr:col>1</xdr:col>
      <xdr:colOff>200025</xdr:colOff>
      <xdr:row>46</xdr:row>
      <xdr:rowOff>161925</xdr:rowOff>
    </xdr:to>
    <xdr:sp macro="" textlink="">
      <xdr:nvSpPr>
        <xdr:cNvPr id="17639" name="Line 27">
          <a:extLst>
            <a:ext uri="{FF2B5EF4-FFF2-40B4-BE49-F238E27FC236}">
              <a16:creationId xmlns:a16="http://schemas.microsoft.com/office/drawing/2014/main" id="{00000000-0008-0000-0E00-0000E7440000}"/>
            </a:ext>
          </a:extLst>
        </xdr:cNvPr>
        <xdr:cNvSpPr>
          <a:spLocks noChangeShapeType="1"/>
        </xdr:cNvSpPr>
      </xdr:nvSpPr>
      <xdr:spPr bwMode="auto">
        <a:xfrm>
          <a:off x="581025" y="7667625"/>
          <a:ext cx="0" cy="114300"/>
        </a:xfrm>
        <a:prstGeom prst="line">
          <a:avLst/>
        </a:prstGeom>
        <a:noFill/>
        <a:ln w="9525">
          <a:solidFill>
            <a:srgbClr xmlns:mc="http://schemas.openxmlformats.org/markup-compatibility/2006" xmlns:a14="http://schemas.microsoft.com/office/drawing/2010/main" val="969696" mc:Ignorable="a14" a14:legacySpreadsheetColorIndex="55"/>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38100</xdr:colOff>
          <xdr:row>43</xdr:row>
          <xdr:rowOff>0</xdr:rowOff>
        </xdr:from>
        <xdr:to>
          <xdr:col>1</xdr:col>
          <xdr:colOff>335280</xdr:colOff>
          <xdr:row>44</xdr:row>
          <xdr:rowOff>45720</xdr:rowOff>
        </xdr:to>
        <xdr:sp macro="" textlink="">
          <xdr:nvSpPr>
            <xdr:cNvPr id="10268" name="Check Box 28" hidden="1">
              <a:extLst>
                <a:ext uri="{63B3BB69-23CF-44E3-9099-C40C66FF867C}">
                  <a14:compatExt spid="_x0000_s10268"/>
                </a:ext>
                <a:ext uri="{FF2B5EF4-FFF2-40B4-BE49-F238E27FC236}">
                  <a16:creationId xmlns:a16="http://schemas.microsoft.com/office/drawing/2014/main" id="{00000000-0008-0000-0E00-00001C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44</xdr:row>
          <xdr:rowOff>0</xdr:rowOff>
        </xdr:from>
        <xdr:to>
          <xdr:col>1</xdr:col>
          <xdr:colOff>335280</xdr:colOff>
          <xdr:row>45</xdr:row>
          <xdr:rowOff>45720</xdr:rowOff>
        </xdr:to>
        <xdr:sp macro="" textlink="">
          <xdr:nvSpPr>
            <xdr:cNvPr id="10269" name="Check Box 29" hidden="1">
              <a:extLst>
                <a:ext uri="{63B3BB69-23CF-44E3-9099-C40C66FF867C}">
                  <a14:compatExt spid="_x0000_s10269"/>
                </a:ext>
                <a:ext uri="{FF2B5EF4-FFF2-40B4-BE49-F238E27FC236}">
                  <a16:creationId xmlns:a16="http://schemas.microsoft.com/office/drawing/2014/main" id="{00000000-0008-0000-0E00-00001D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46</xdr:row>
          <xdr:rowOff>0</xdr:rowOff>
        </xdr:from>
        <xdr:to>
          <xdr:col>1</xdr:col>
          <xdr:colOff>335280</xdr:colOff>
          <xdr:row>47</xdr:row>
          <xdr:rowOff>45720</xdr:rowOff>
        </xdr:to>
        <xdr:sp macro="" textlink="">
          <xdr:nvSpPr>
            <xdr:cNvPr id="10270" name="Check Box 30" hidden="1">
              <a:extLst>
                <a:ext uri="{63B3BB69-23CF-44E3-9099-C40C66FF867C}">
                  <a14:compatExt spid="_x0000_s10270"/>
                </a:ext>
                <a:ext uri="{FF2B5EF4-FFF2-40B4-BE49-F238E27FC236}">
                  <a16:creationId xmlns:a16="http://schemas.microsoft.com/office/drawing/2014/main" id="{00000000-0008-0000-0E00-00001E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29</xdr:row>
          <xdr:rowOff>144780</xdr:rowOff>
        </xdr:from>
        <xdr:to>
          <xdr:col>12</xdr:col>
          <xdr:colOff>38100</xdr:colOff>
          <xdr:row>31</xdr:row>
          <xdr:rowOff>30480</xdr:rowOff>
        </xdr:to>
        <xdr:sp macro="" textlink="">
          <xdr:nvSpPr>
            <xdr:cNvPr id="10271" name="Check Box 31" hidden="1">
              <a:extLst>
                <a:ext uri="{63B3BB69-23CF-44E3-9099-C40C66FF867C}">
                  <a14:compatExt spid="_x0000_s10271"/>
                </a:ext>
                <a:ext uri="{FF2B5EF4-FFF2-40B4-BE49-F238E27FC236}">
                  <a16:creationId xmlns:a16="http://schemas.microsoft.com/office/drawing/2014/main" id="{00000000-0008-0000-0E00-00001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29</xdr:row>
          <xdr:rowOff>144780</xdr:rowOff>
        </xdr:from>
        <xdr:to>
          <xdr:col>14</xdr:col>
          <xdr:colOff>60960</xdr:colOff>
          <xdr:row>31</xdr:row>
          <xdr:rowOff>30480</xdr:rowOff>
        </xdr:to>
        <xdr:sp macro="" textlink="">
          <xdr:nvSpPr>
            <xdr:cNvPr id="10272" name="Check Box 32" hidden="1">
              <a:extLst>
                <a:ext uri="{63B3BB69-23CF-44E3-9099-C40C66FF867C}">
                  <a14:compatExt spid="_x0000_s10272"/>
                </a:ext>
                <a:ext uri="{FF2B5EF4-FFF2-40B4-BE49-F238E27FC236}">
                  <a16:creationId xmlns:a16="http://schemas.microsoft.com/office/drawing/2014/main" id="{00000000-0008-0000-0E00-000020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121920</xdr:colOff>
          <xdr:row>29</xdr:row>
          <xdr:rowOff>144780</xdr:rowOff>
        </xdr:from>
        <xdr:to>
          <xdr:col>16</xdr:col>
          <xdr:colOff>38100</xdr:colOff>
          <xdr:row>31</xdr:row>
          <xdr:rowOff>30480</xdr:rowOff>
        </xdr:to>
        <xdr:sp macro="" textlink="">
          <xdr:nvSpPr>
            <xdr:cNvPr id="10273" name="Check Box 33" hidden="1">
              <a:extLst>
                <a:ext uri="{63B3BB69-23CF-44E3-9099-C40C66FF867C}">
                  <a14:compatExt spid="_x0000_s10273"/>
                </a:ext>
                <a:ext uri="{FF2B5EF4-FFF2-40B4-BE49-F238E27FC236}">
                  <a16:creationId xmlns:a16="http://schemas.microsoft.com/office/drawing/2014/main" id="{00000000-0008-0000-0E00-000021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33</xdr:row>
          <xdr:rowOff>68580</xdr:rowOff>
        </xdr:from>
        <xdr:to>
          <xdr:col>12</xdr:col>
          <xdr:colOff>38100</xdr:colOff>
          <xdr:row>34</xdr:row>
          <xdr:rowOff>114300</xdr:rowOff>
        </xdr:to>
        <xdr:sp macro="" textlink="">
          <xdr:nvSpPr>
            <xdr:cNvPr id="10274" name="Check Box 34" hidden="1">
              <a:extLst>
                <a:ext uri="{63B3BB69-23CF-44E3-9099-C40C66FF867C}">
                  <a14:compatExt spid="_x0000_s10274"/>
                </a:ext>
                <a:ext uri="{FF2B5EF4-FFF2-40B4-BE49-F238E27FC236}">
                  <a16:creationId xmlns:a16="http://schemas.microsoft.com/office/drawing/2014/main" id="{00000000-0008-0000-0E00-000022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33</xdr:row>
          <xdr:rowOff>68580</xdr:rowOff>
        </xdr:from>
        <xdr:to>
          <xdr:col>14</xdr:col>
          <xdr:colOff>60960</xdr:colOff>
          <xdr:row>34</xdr:row>
          <xdr:rowOff>114300</xdr:rowOff>
        </xdr:to>
        <xdr:sp macro="" textlink="">
          <xdr:nvSpPr>
            <xdr:cNvPr id="10275" name="Check Box 35" hidden="1">
              <a:extLst>
                <a:ext uri="{63B3BB69-23CF-44E3-9099-C40C66FF867C}">
                  <a14:compatExt spid="_x0000_s10275"/>
                </a:ext>
                <a:ext uri="{FF2B5EF4-FFF2-40B4-BE49-F238E27FC236}">
                  <a16:creationId xmlns:a16="http://schemas.microsoft.com/office/drawing/2014/main" id="{00000000-0008-0000-0E00-000023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121920</xdr:colOff>
          <xdr:row>33</xdr:row>
          <xdr:rowOff>68580</xdr:rowOff>
        </xdr:from>
        <xdr:to>
          <xdr:col>16</xdr:col>
          <xdr:colOff>38100</xdr:colOff>
          <xdr:row>34</xdr:row>
          <xdr:rowOff>114300</xdr:rowOff>
        </xdr:to>
        <xdr:sp macro="" textlink="">
          <xdr:nvSpPr>
            <xdr:cNvPr id="10276" name="Check Box 36" hidden="1">
              <a:extLst>
                <a:ext uri="{63B3BB69-23CF-44E3-9099-C40C66FF867C}">
                  <a14:compatExt spid="_x0000_s10276"/>
                </a:ext>
                <a:ext uri="{FF2B5EF4-FFF2-40B4-BE49-F238E27FC236}">
                  <a16:creationId xmlns:a16="http://schemas.microsoft.com/office/drawing/2014/main" id="{00000000-0008-0000-0E00-000024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182880</xdr:colOff>
          <xdr:row>48</xdr:row>
          <xdr:rowOff>190500</xdr:rowOff>
        </xdr:from>
        <xdr:to>
          <xdr:col>4</xdr:col>
          <xdr:colOff>99060</xdr:colOff>
          <xdr:row>50</xdr:row>
          <xdr:rowOff>45720</xdr:rowOff>
        </xdr:to>
        <xdr:sp macro="" textlink="">
          <xdr:nvSpPr>
            <xdr:cNvPr id="10277" name="Check Box 37" hidden="1">
              <a:extLst>
                <a:ext uri="{63B3BB69-23CF-44E3-9099-C40C66FF867C}">
                  <a14:compatExt spid="_x0000_s10277"/>
                </a:ext>
                <a:ext uri="{FF2B5EF4-FFF2-40B4-BE49-F238E27FC236}">
                  <a16:creationId xmlns:a16="http://schemas.microsoft.com/office/drawing/2014/main" id="{00000000-0008-0000-0E00-000025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198120</xdr:colOff>
          <xdr:row>48</xdr:row>
          <xdr:rowOff>190500</xdr:rowOff>
        </xdr:from>
        <xdr:to>
          <xdr:col>8</xdr:col>
          <xdr:colOff>114300</xdr:colOff>
          <xdr:row>50</xdr:row>
          <xdr:rowOff>45720</xdr:rowOff>
        </xdr:to>
        <xdr:sp macro="" textlink="">
          <xdr:nvSpPr>
            <xdr:cNvPr id="10278" name="Check Box 38" hidden="1">
              <a:extLst>
                <a:ext uri="{63B3BB69-23CF-44E3-9099-C40C66FF867C}">
                  <a14:compatExt spid="_x0000_s10278"/>
                </a:ext>
                <a:ext uri="{FF2B5EF4-FFF2-40B4-BE49-F238E27FC236}">
                  <a16:creationId xmlns:a16="http://schemas.microsoft.com/office/drawing/2014/main" id="{00000000-0008-0000-0E00-000026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274320</xdr:colOff>
          <xdr:row>48</xdr:row>
          <xdr:rowOff>190500</xdr:rowOff>
        </xdr:from>
        <xdr:to>
          <xdr:col>12</xdr:col>
          <xdr:colOff>190500</xdr:colOff>
          <xdr:row>50</xdr:row>
          <xdr:rowOff>45720</xdr:rowOff>
        </xdr:to>
        <xdr:sp macro="" textlink="">
          <xdr:nvSpPr>
            <xdr:cNvPr id="10279" name="Check Box 39" hidden="1">
              <a:extLst>
                <a:ext uri="{63B3BB69-23CF-44E3-9099-C40C66FF867C}">
                  <a14:compatExt spid="_x0000_s10279"/>
                </a:ext>
                <a:ext uri="{FF2B5EF4-FFF2-40B4-BE49-F238E27FC236}">
                  <a16:creationId xmlns:a16="http://schemas.microsoft.com/office/drawing/2014/main" id="{00000000-0008-0000-0E00-000027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327660</xdr:colOff>
          <xdr:row>48</xdr:row>
          <xdr:rowOff>190500</xdr:rowOff>
        </xdr:from>
        <xdr:to>
          <xdr:col>15</xdr:col>
          <xdr:colOff>236220</xdr:colOff>
          <xdr:row>50</xdr:row>
          <xdr:rowOff>45720</xdr:rowOff>
        </xdr:to>
        <xdr:sp macro="" textlink="">
          <xdr:nvSpPr>
            <xdr:cNvPr id="10280" name="Check Box 40" hidden="1">
              <a:extLst>
                <a:ext uri="{63B3BB69-23CF-44E3-9099-C40C66FF867C}">
                  <a14:compatExt spid="_x0000_s10280"/>
                </a:ext>
                <a:ext uri="{FF2B5EF4-FFF2-40B4-BE49-F238E27FC236}">
                  <a16:creationId xmlns:a16="http://schemas.microsoft.com/office/drawing/2014/main" id="{00000000-0008-0000-0E00-000028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49</xdr:row>
          <xdr:rowOff>190500</xdr:rowOff>
        </xdr:from>
        <xdr:to>
          <xdr:col>10</xdr:col>
          <xdr:colOff>152400</xdr:colOff>
          <xdr:row>51</xdr:row>
          <xdr:rowOff>45720</xdr:rowOff>
        </xdr:to>
        <xdr:sp macro="" textlink="">
          <xdr:nvSpPr>
            <xdr:cNvPr id="10281" name="Check Box 41" hidden="1">
              <a:extLst>
                <a:ext uri="{63B3BB69-23CF-44E3-9099-C40C66FF867C}">
                  <a14:compatExt spid="_x0000_s10281"/>
                </a:ext>
                <a:ext uri="{FF2B5EF4-FFF2-40B4-BE49-F238E27FC236}">
                  <a16:creationId xmlns:a16="http://schemas.microsoft.com/office/drawing/2014/main" id="{00000000-0008-0000-0E00-000029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58</xdr:row>
          <xdr:rowOff>175260</xdr:rowOff>
        </xdr:from>
        <xdr:to>
          <xdr:col>10</xdr:col>
          <xdr:colOff>137160</xdr:colOff>
          <xdr:row>60</xdr:row>
          <xdr:rowOff>45720</xdr:rowOff>
        </xdr:to>
        <xdr:sp macro="" textlink="">
          <xdr:nvSpPr>
            <xdr:cNvPr id="10282" name="Check Box 42" hidden="1">
              <a:extLst>
                <a:ext uri="{63B3BB69-23CF-44E3-9099-C40C66FF867C}">
                  <a14:compatExt spid="_x0000_s10282"/>
                </a:ext>
                <a:ext uri="{FF2B5EF4-FFF2-40B4-BE49-F238E27FC236}">
                  <a16:creationId xmlns:a16="http://schemas.microsoft.com/office/drawing/2014/main" id="{00000000-0008-0000-0E00-00002A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58</xdr:row>
          <xdr:rowOff>175260</xdr:rowOff>
        </xdr:from>
        <xdr:to>
          <xdr:col>12</xdr:col>
          <xdr:colOff>45720</xdr:colOff>
          <xdr:row>60</xdr:row>
          <xdr:rowOff>45720</xdr:rowOff>
        </xdr:to>
        <xdr:sp macro="" textlink="">
          <xdr:nvSpPr>
            <xdr:cNvPr id="10283" name="Check Box 43" hidden="1">
              <a:extLst>
                <a:ext uri="{63B3BB69-23CF-44E3-9099-C40C66FF867C}">
                  <a14:compatExt spid="_x0000_s10283"/>
                </a:ext>
                <a:ext uri="{FF2B5EF4-FFF2-40B4-BE49-F238E27FC236}">
                  <a16:creationId xmlns:a16="http://schemas.microsoft.com/office/drawing/2014/main" id="{00000000-0008-0000-0E00-00002B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67</xdr:row>
          <xdr:rowOff>144780</xdr:rowOff>
        </xdr:from>
        <xdr:to>
          <xdr:col>6</xdr:col>
          <xdr:colOff>60960</xdr:colOff>
          <xdr:row>69</xdr:row>
          <xdr:rowOff>30480</xdr:rowOff>
        </xdr:to>
        <xdr:sp macro="" textlink="">
          <xdr:nvSpPr>
            <xdr:cNvPr id="10284" name="Check Box 44" hidden="1">
              <a:extLst>
                <a:ext uri="{63B3BB69-23CF-44E3-9099-C40C66FF867C}">
                  <a14:compatExt spid="_x0000_s10284"/>
                </a:ext>
                <a:ext uri="{FF2B5EF4-FFF2-40B4-BE49-F238E27FC236}">
                  <a16:creationId xmlns:a16="http://schemas.microsoft.com/office/drawing/2014/main" id="{00000000-0008-0000-0E00-00002C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67</xdr:row>
          <xdr:rowOff>144780</xdr:rowOff>
        </xdr:from>
        <xdr:to>
          <xdr:col>8</xdr:col>
          <xdr:colOff>68580</xdr:colOff>
          <xdr:row>69</xdr:row>
          <xdr:rowOff>30480</xdr:rowOff>
        </xdr:to>
        <xdr:sp macro="" textlink="">
          <xdr:nvSpPr>
            <xdr:cNvPr id="10285" name="Check Box 45" hidden="1">
              <a:extLst>
                <a:ext uri="{63B3BB69-23CF-44E3-9099-C40C66FF867C}">
                  <a14:compatExt spid="_x0000_s10285"/>
                </a:ext>
                <a:ext uri="{FF2B5EF4-FFF2-40B4-BE49-F238E27FC236}">
                  <a16:creationId xmlns:a16="http://schemas.microsoft.com/office/drawing/2014/main" id="{00000000-0008-0000-0E00-00002D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220980</xdr:colOff>
          <xdr:row>67</xdr:row>
          <xdr:rowOff>144780</xdr:rowOff>
        </xdr:from>
        <xdr:to>
          <xdr:col>10</xdr:col>
          <xdr:colOff>137160</xdr:colOff>
          <xdr:row>69</xdr:row>
          <xdr:rowOff>30480</xdr:rowOff>
        </xdr:to>
        <xdr:sp macro="" textlink="">
          <xdr:nvSpPr>
            <xdr:cNvPr id="10286" name="Check Box 46" hidden="1">
              <a:extLst>
                <a:ext uri="{63B3BB69-23CF-44E3-9099-C40C66FF867C}">
                  <a14:compatExt spid="_x0000_s10286"/>
                </a:ext>
                <a:ext uri="{FF2B5EF4-FFF2-40B4-BE49-F238E27FC236}">
                  <a16:creationId xmlns:a16="http://schemas.microsoft.com/office/drawing/2014/main" id="{00000000-0008-0000-0E00-00002E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49</xdr:row>
          <xdr:rowOff>190500</xdr:rowOff>
        </xdr:from>
        <xdr:to>
          <xdr:col>8</xdr:col>
          <xdr:colOff>182880</xdr:colOff>
          <xdr:row>51</xdr:row>
          <xdr:rowOff>45720</xdr:rowOff>
        </xdr:to>
        <xdr:sp macro="" textlink="">
          <xdr:nvSpPr>
            <xdr:cNvPr id="10287" name="Check Box 47" hidden="1">
              <a:extLst>
                <a:ext uri="{63B3BB69-23CF-44E3-9099-C40C66FF867C}">
                  <a14:compatExt spid="_x0000_s10287"/>
                </a:ext>
                <a:ext uri="{FF2B5EF4-FFF2-40B4-BE49-F238E27FC236}">
                  <a16:creationId xmlns:a16="http://schemas.microsoft.com/office/drawing/2014/main" id="{00000000-0008-0000-0E00-00002F2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4F3C50-C821-4266-ACB5-9C15834B91A8}" name="Language" displayName="Language" ref="A1:I219" totalsRowShown="0" headerRowBorderDxfId="34">
  <autoFilter ref="A1:I219" xr:uid="{3992ADD2-A9FA-4682-AB19-944BA987D3A2}"/>
  <tableColumns count="9">
    <tableColumn id="1" xr3:uid="{600C0BD4-6D67-4C15-8DF4-AC20645F4B0C}" name="Field" dataDxfId="33"/>
    <tableColumn id="2" xr3:uid="{7A4D9125-548B-4FDA-8738-5874F260AFDA}" name="english" dataDxfId="32"/>
    <tableColumn id="3" xr3:uid="{913FF327-406F-4325-9C8C-10A9DB7C8BA4}" name="Česky" dataDxfId="31"/>
    <tableColumn id="4" xr3:uid="{4CCFFC22-8ED9-4EE3-B4FF-892F98680E50}" name="deutsch" dataDxfId="30"/>
    <tableColumn id="5" xr3:uid="{93A91272-9EC0-46D0-AB1C-D7FF6137030B}" name="espaniol" dataDxfId="29"/>
    <tableColumn id="6" xr3:uid="{BCEEB634-DF78-417F-8DD7-4573671ED38C}" name="français"/>
    <tableColumn id="7" xr3:uid="{5060AEDE-D257-4097-89B8-2B291B66CF3C}" name="italiano"/>
    <tableColumn id="8" xr3:uid="{9B709FE7-3FE0-4838-B9ED-B4B7F27E0472}" name="nederlands"/>
    <tableColumn id="10" xr3:uid="{D906FE18-ADDD-4B0B-A932-32FC95B89A99}" name="ID"/>
  </tableColumns>
  <tableStyleInfo name="TableStyleLight3"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image" Target="../media/image7.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5.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5.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D58C1-BE38-4ED6-9DBD-A645F85A0D7B}">
  <sheetPr codeName="Tabelle15" filterMode="1"/>
  <dimension ref="A1:F9"/>
  <sheetViews>
    <sheetView zoomScale="160" zoomScaleNormal="160" workbookViewId="0">
      <selection activeCell="D25" sqref="D25"/>
    </sheetView>
  </sheetViews>
  <sheetFormatPr defaultColWidth="9.109375" defaultRowHeight="13.2"/>
  <cols>
    <col min="1" max="2" width="27.44140625" customWidth="1"/>
    <col min="3" max="3" width="20.109375" customWidth="1"/>
    <col min="4" max="5" width="27.44140625" customWidth="1"/>
    <col min="6" max="6" width="57.5546875" customWidth="1"/>
  </cols>
  <sheetData>
    <row r="1" spans="1:6" ht="24">
      <c r="A1" s="343" t="s">
        <v>1503</v>
      </c>
      <c r="B1" s="343" t="s">
        <v>1500</v>
      </c>
      <c r="C1" s="343" t="s">
        <v>1509</v>
      </c>
      <c r="D1" s="343" t="s">
        <v>1501</v>
      </c>
      <c r="E1" s="343" t="s">
        <v>37</v>
      </c>
      <c r="F1" s="343" t="s">
        <v>1515</v>
      </c>
    </row>
    <row r="2" spans="1:6" ht="60" hidden="1" customHeight="1">
      <c r="A2" s="344"/>
      <c r="B2" s="345" t="s">
        <v>1504</v>
      </c>
      <c r="C2" s="346" t="s">
        <v>1510</v>
      </c>
      <c r="D2" s="346" t="s">
        <v>1512</v>
      </c>
      <c r="E2" s="347" t="s">
        <v>1502</v>
      </c>
      <c r="F2" s="347"/>
    </row>
    <row r="3" spans="1:6" ht="60" hidden="1" customHeight="1">
      <c r="A3" s="344"/>
      <c r="B3" s="345" t="s">
        <v>1505</v>
      </c>
      <c r="C3" s="346" t="s">
        <v>1513</v>
      </c>
      <c r="D3" s="346" t="s">
        <v>1514</v>
      </c>
      <c r="E3" s="347" t="s">
        <v>1502</v>
      </c>
      <c r="F3" s="347"/>
    </row>
    <row r="4" spans="1:6" ht="60" hidden="1" customHeight="1">
      <c r="A4" s="344"/>
      <c r="B4" s="345" t="s">
        <v>1506</v>
      </c>
      <c r="C4" s="346" t="s">
        <v>1510</v>
      </c>
      <c r="D4" s="346" t="s">
        <v>1518</v>
      </c>
      <c r="E4" s="347" t="s">
        <v>1502</v>
      </c>
      <c r="F4" s="347"/>
    </row>
    <row r="5" spans="1:6" ht="60" hidden="1" customHeight="1">
      <c r="A5" s="344"/>
      <c r="B5" s="345" t="s">
        <v>1507</v>
      </c>
      <c r="C5" s="346"/>
      <c r="D5" s="346"/>
      <c r="E5" s="347" t="s">
        <v>1502</v>
      </c>
      <c r="F5" s="347"/>
    </row>
    <row r="6" spans="1:6" ht="60" hidden="1" customHeight="1">
      <c r="A6" s="344">
        <v>44019</v>
      </c>
      <c r="B6" s="345" t="s">
        <v>1508</v>
      </c>
      <c r="C6" s="346" t="s">
        <v>1516</v>
      </c>
      <c r="D6" s="346" t="s">
        <v>1517</v>
      </c>
      <c r="E6" s="347" t="s">
        <v>1511</v>
      </c>
      <c r="F6" s="347"/>
    </row>
    <row r="7" spans="1:6" ht="182.4" hidden="1" customHeight="1">
      <c r="A7" s="344">
        <v>44058</v>
      </c>
      <c r="B7" s="345" t="s">
        <v>1521</v>
      </c>
      <c r="C7" s="345" t="s">
        <v>1522</v>
      </c>
      <c r="D7" s="345" t="s">
        <v>1523</v>
      </c>
      <c r="E7" s="345" t="s">
        <v>1511</v>
      </c>
      <c r="F7" s="353"/>
    </row>
    <row r="8" spans="1:6" ht="180" hidden="1" customHeight="1">
      <c r="A8" s="354">
        <v>44214</v>
      </c>
      <c r="B8" s="355" t="s">
        <v>1531</v>
      </c>
      <c r="C8" s="376" t="s">
        <v>1570</v>
      </c>
      <c r="D8" s="376" t="s">
        <v>1571</v>
      </c>
      <c r="E8" s="345" t="s">
        <v>1511</v>
      </c>
      <c r="F8" s="353"/>
    </row>
    <row r="9" spans="1:6" ht="253.5" customHeight="1">
      <c r="A9" s="354">
        <v>45042</v>
      </c>
      <c r="B9" s="345" t="s">
        <v>1574</v>
      </c>
      <c r="C9" s="355" t="s">
        <v>1573</v>
      </c>
      <c r="D9" s="378" t="s">
        <v>1576</v>
      </c>
      <c r="E9" s="345" t="s">
        <v>1575</v>
      </c>
      <c r="F9" s="353"/>
    </row>
  </sheetData>
  <autoFilter ref="A1:F9" xr:uid="{967D58C1-BE38-4ED6-9DBD-A645F85A0D7B}">
    <filterColumn colId="1">
      <filters>
        <filter val="D17"/>
      </filters>
    </filterColumn>
  </autoFilter>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3">
    <pageSetUpPr fitToPage="1"/>
  </sheetPr>
  <dimension ref="A1:M15"/>
  <sheetViews>
    <sheetView workbookViewId="0">
      <selection activeCell="B6" sqref="B6"/>
    </sheetView>
  </sheetViews>
  <sheetFormatPr defaultColWidth="11.44140625" defaultRowHeight="13.2"/>
  <cols>
    <col min="1" max="1" width="7.109375" style="16" customWidth="1"/>
    <col min="2" max="2" width="13.88671875" style="16" customWidth="1"/>
    <col min="3" max="3" width="4.5546875" style="16" customWidth="1"/>
    <col min="4" max="4" width="5.88671875" style="16" customWidth="1"/>
    <col min="5" max="7" width="8.109375" style="16" customWidth="1"/>
    <col min="8" max="11" width="7.88671875" style="16" customWidth="1"/>
    <col min="12" max="12" width="11.44140625" style="16"/>
    <col min="13" max="13" width="18.33203125" style="16" customWidth="1"/>
    <col min="14" max="16384" width="11.44140625" style="16"/>
  </cols>
  <sheetData>
    <row r="1" spans="1:13" s="6" customFormat="1" ht="23.4" thickBot="1">
      <c r="A1" s="1" t="s">
        <v>50</v>
      </c>
      <c r="B1" s="2"/>
      <c r="C1" s="2"/>
      <c r="D1" s="3"/>
      <c r="E1" s="4" t="s">
        <v>51</v>
      </c>
      <c r="F1" s="5"/>
      <c r="G1" s="99"/>
      <c r="H1" s="99"/>
      <c r="I1" s="100"/>
      <c r="J1" s="4" t="s">
        <v>1376</v>
      </c>
      <c r="K1" s="5"/>
      <c r="L1" s="5"/>
      <c r="M1" s="106" t="e">
        <f>HeaderData!#REF!</f>
        <v>#REF!</v>
      </c>
    </row>
    <row r="2" spans="1:13" s="6" customFormat="1" ht="16.2" thickBot="1">
      <c r="A2" s="7" t="s">
        <v>52</v>
      </c>
      <c r="B2" s="8"/>
      <c r="C2" s="8"/>
      <c r="D2" s="8"/>
      <c r="E2" s="8"/>
      <c r="F2" s="8"/>
      <c r="G2" s="99"/>
      <c r="H2" s="99"/>
      <c r="I2" s="99"/>
      <c r="J2" s="101" t="s">
        <v>53</v>
      </c>
      <c r="K2" s="8"/>
      <c r="L2" s="8"/>
      <c r="M2" s="106" t="str">
        <f>HeaderData!C12</f>
        <v>&lt;1-1111111-1&gt;</v>
      </c>
    </row>
    <row r="3" spans="1:13" s="6" customFormat="1" ht="16.2" thickBot="1">
      <c r="A3" s="7" t="s">
        <v>54</v>
      </c>
      <c r="B3" s="8"/>
      <c r="C3" s="8"/>
      <c r="D3" s="8"/>
      <c r="E3" s="8"/>
      <c r="F3" s="8"/>
      <c r="G3" s="99"/>
      <c r="H3" s="99"/>
      <c r="I3" s="99"/>
      <c r="J3" s="101" t="s">
        <v>55</v>
      </c>
      <c r="K3" s="8"/>
      <c r="L3" s="8"/>
      <c r="M3" s="106" t="str">
        <f>HeaderData!C16</f>
        <v>&lt;1111111&gt;</v>
      </c>
    </row>
    <row r="4" spans="1:13" s="6" customFormat="1" ht="16.2" thickBot="1">
      <c r="A4" s="9" t="s">
        <v>56</v>
      </c>
      <c r="B4" s="10"/>
      <c r="C4" s="10"/>
      <c r="D4" s="10"/>
      <c r="E4" s="10"/>
      <c r="F4" s="10"/>
      <c r="G4" s="102"/>
      <c r="H4" s="102"/>
      <c r="I4" s="102"/>
      <c r="J4" s="102"/>
      <c r="K4" s="102"/>
      <c r="L4" s="102"/>
      <c r="M4" s="103"/>
    </row>
    <row r="5" spans="1:13" s="6" customFormat="1"/>
    <row r="6" spans="1:13" s="6" customFormat="1" ht="15.6">
      <c r="A6" s="11" t="s">
        <v>57</v>
      </c>
      <c r="B6" s="12"/>
      <c r="C6" s="12"/>
      <c r="D6" s="12"/>
      <c r="G6" s="106" t="str">
        <f>HeaderData!C10</f>
        <v>&lt;1234&gt;</v>
      </c>
      <c r="L6" s="13" t="s">
        <v>58</v>
      </c>
      <c r="M6" s="106" t="str">
        <f>HeaderData!C19</f>
        <v>&lt;31.12.2099&gt;</v>
      </c>
    </row>
    <row r="7" spans="1:13" s="6" customFormat="1">
      <c r="L7" s="13" t="s">
        <v>59</v>
      </c>
      <c r="M7" s="106" t="str">
        <f>HeaderData!C15</f>
        <v>&lt;51-12345&gt;</v>
      </c>
    </row>
    <row r="8" spans="1:13" s="6" customFormat="1">
      <c r="L8" s="13" t="s">
        <v>60</v>
      </c>
      <c r="M8" s="106" t="str">
        <f>HeaderData!$C$48</f>
        <v>&lt;4&gt;</v>
      </c>
    </row>
    <row r="9" spans="1:13" s="6" customFormat="1">
      <c r="L9" s="13" t="s">
        <v>61</v>
      </c>
      <c r="M9" s="106" t="str">
        <f>HeaderData!$C$49</f>
        <v>&lt;1, 2, - , -&gt;</v>
      </c>
    </row>
    <row r="10" spans="1:13" s="6" customFormat="1"/>
    <row r="11" spans="1:13" s="6" customFormat="1" ht="15.6">
      <c r="A11" s="11" t="s">
        <v>62</v>
      </c>
      <c r="D11" s="14"/>
      <c r="E11" s="14"/>
      <c r="F11" s="14"/>
      <c r="G11" s="14"/>
      <c r="H11" s="14"/>
      <c r="I11" s="14"/>
      <c r="J11" s="14"/>
      <c r="K11" s="14"/>
      <c r="L11" s="14"/>
      <c r="M11" s="14"/>
    </row>
    <row r="12" spans="1:13" s="6" customFormat="1">
      <c r="D12" s="14"/>
      <c r="E12" s="14"/>
      <c r="F12" s="14"/>
      <c r="G12" s="14"/>
      <c r="H12" s="14"/>
      <c r="I12" s="14"/>
      <c r="J12" s="14"/>
      <c r="K12" s="14"/>
      <c r="L12" s="14"/>
      <c r="M12" s="14"/>
    </row>
    <row r="13" spans="1:13" s="6" customFormat="1"/>
    <row r="14" spans="1:13" s="6" customFormat="1" ht="17.399999999999999">
      <c r="A14" s="104" t="s">
        <v>63</v>
      </c>
    </row>
    <row r="15" spans="1:13" ht="26.4">
      <c r="A15" s="15" t="s">
        <v>1373</v>
      </c>
      <c r="B15" s="15" t="s">
        <v>64</v>
      </c>
      <c r="C15" s="15" t="s">
        <v>65</v>
      </c>
      <c r="D15" s="15" t="s">
        <v>66</v>
      </c>
      <c r="E15" s="15" t="s">
        <v>67</v>
      </c>
      <c r="F15" s="15" t="s">
        <v>68</v>
      </c>
      <c r="G15" s="15" t="s">
        <v>69</v>
      </c>
      <c r="H15" s="15" t="s">
        <v>70</v>
      </c>
      <c r="I15" s="15"/>
      <c r="J15" s="15"/>
      <c r="K15" s="15"/>
      <c r="L15" s="15" t="s">
        <v>71</v>
      </c>
      <c r="M15" s="15" t="s">
        <v>72</v>
      </c>
    </row>
  </sheetData>
  <phoneticPr fontId="4" type="noConversion"/>
  <conditionalFormatting sqref="M1:M3 M6:M9 G6">
    <cfRule type="expression" dxfId="44" priority="1" stopIfTrue="1">
      <formula>LEFT(G1)="&lt;"</formula>
    </cfRule>
  </conditionalFormatting>
  <pageMargins left="0.27559055118110237" right="0.19685039370078741" top="0.98425196850393704" bottom="0.98425196850393704" header="0.51181102362204722" footer="0.51181102362204722"/>
  <pageSetup paperSize="9" scale="86" orientation="portrait" r:id="rId1"/>
  <headerFooter alignWithMargins="0">
    <oddHeader>&amp;LDimensional Report&amp;RPE-AUT-AV-00011-001 Rev. D13</oddHeader>
    <oddFooter>&amp;L&amp;A&amp;RPage &amp;P of &amp;N, 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7">
    <pageSetUpPr fitToPage="1"/>
  </sheetPr>
  <dimension ref="A1:G22"/>
  <sheetViews>
    <sheetView zoomScaleNormal="100" workbookViewId="0">
      <selection activeCell="B6" sqref="B6"/>
    </sheetView>
  </sheetViews>
  <sheetFormatPr defaultColWidth="6.6640625" defaultRowHeight="13.2"/>
  <cols>
    <col min="1" max="1" width="21.33203125" style="38" customWidth="1"/>
    <col min="2" max="2" width="17.33203125" style="38" customWidth="1"/>
    <col min="3" max="3" width="18.109375" style="38" customWidth="1"/>
    <col min="4" max="16384" width="6.6640625" style="38"/>
  </cols>
  <sheetData>
    <row r="1" spans="1:7" ht="17.399999999999999">
      <c r="A1"/>
      <c r="B1" s="43" t="s">
        <v>1375</v>
      </c>
    </row>
    <row r="2" spans="1:7" ht="17.399999999999999">
      <c r="A2"/>
      <c r="B2" s="43" t="s">
        <v>1374</v>
      </c>
      <c r="C2"/>
    </row>
    <row r="3" spans="1:7" s="39" customFormat="1" ht="17.399999999999999">
      <c r="A3" s="168" t="s">
        <v>1009</v>
      </c>
      <c r="B3" s="176"/>
      <c r="C3" s="104"/>
      <c r="D3" s="104"/>
    </row>
    <row r="4" spans="1:7">
      <c r="A4" s="320" t="s">
        <v>5</v>
      </c>
      <c r="B4" s="319" t="s">
        <v>605</v>
      </c>
      <c r="C4" s="167"/>
    </row>
    <row r="5" spans="1:7">
      <c r="A5" s="44" t="s">
        <v>1467</v>
      </c>
      <c r="B5" s="44" t="str">
        <f>VLOOKUP("txtOVCompany",LangRange,LangID,FALSE)</f>
        <v>Supplier</v>
      </c>
      <c r="C5" s="106" t="str">
        <f>CONCATENATE(HeaderData.OVID," ",HeaderData.OVName)</f>
        <v>&lt;Supplier-ID&gt; &lt;Supplier Company Name&gt;</v>
      </c>
      <c r="G5" s="44"/>
    </row>
    <row r="6" spans="1:7">
      <c r="A6" s="44" t="s">
        <v>607</v>
      </c>
      <c r="B6" s="44" t="str">
        <f>VLOOKUP("txtTEPN",LangRange,LangID,FALSE)</f>
        <v>TE Part Number*</v>
      </c>
      <c r="C6" s="106" t="str">
        <f>CONCATENATE(HeaderData.TEPN,"Rev. ",HeaderData.TePnRev)</f>
        <v>&lt;1-1111111-1&gt;Rev. &lt;A&gt;</v>
      </c>
      <c r="G6" s="44"/>
    </row>
    <row r="7" spans="1:7">
      <c r="A7" s="44" t="s">
        <v>608</v>
      </c>
      <c r="B7" s="44" t="str">
        <f>VLOOKUP("txtTeDwgNo",LangRange,LangID,FALSE)</f>
        <v>TE Drawing Number*</v>
      </c>
      <c r="C7" s="106" t="str">
        <f>CONCATENATE(HeaderData.TeDwgNo," Rev. ",HeaderData.TeDwgRev)</f>
        <v>&lt;1111111&gt; Rev. &lt;A1&gt;</v>
      </c>
      <c r="G7" s="44"/>
    </row>
    <row r="8" spans="1:7">
      <c r="A8" s="44" t="s">
        <v>1377</v>
      </c>
      <c r="B8" s="44" t="str">
        <f>VLOOKUP("txtMeasureDate",LangRange,LangID,FALSE)</f>
        <v>Date of issue*</v>
      </c>
      <c r="C8" s="166" t="str">
        <f>HeaderData.MeasureDate</f>
        <v>&lt;31.12.2099&gt;</v>
      </c>
      <c r="G8" s="44"/>
    </row>
    <row r="9" spans="1:7">
      <c r="A9" s="44" t="s">
        <v>606</v>
      </c>
      <c r="B9" s="44" t="str">
        <f>VLOOKUP("txtInspectorName",LangRange,LangID,FALSE)</f>
        <v>Inspector*</v>
      </c>
      <c r="C9" s="106" t="str">
        <f>HeaderData.InspectorName</f>
        <v>&lt;Joe Checker&gt;</v>
      </c>
      <c r="G9" s="44"/>
    </row>
    <row r="10" spans="1:7">
      <c r="A10" s="44" t="s">
        <v>504</v>
      </c>
      <c r="B10" s="44" t="str">
        <f>VLOOKUP("txtTeReportRev",LangRange,LangID,FALSE)</f>
        <v>Revision of Dimensional Report*</v>
      </c>
      <c r="C10" s="106" t="str">
        <f>HeaderData.TeReportRev</f>
        <v>&lt;1&gt;</v>
      </c>
      <c r="G10" s="44"/>
    </row>
    <row r="11" spans="1:7">
      <c r="A11" s="44" t="s">
        <v>686</v>
      </c>
      <c r="B11" s="44" t="str">
        <f>VLOOKUP("txtCavitiesQuantity",LangRange,LangID,FALSE)</f>
        <v>Quantity of cavities*</v>
      </c>
      <c r="C11" s="106" t="str">
        <f>HeaderData.QtyCav</f>
        <v>&lt;4&gt;</v>
      </c>
      <c r="G11" s="44"/>
    </row>
    <row r="12" spans="1:7">
      <c r="A12" s="45"/>
      <c r="B12" s="44"/>
      <c r="C12" s="106"/>
    </row>
    <row r="13" spans="1:7">
      <c r="A13" s="45"/>
      <c r="B13" s="44"/>
      <c r="C13" s="106"/>
    </row>
    <row r="15" spans="1:7">
      <c r="A15" s="39" t="s">
        <v>1378</v>
      </c>
      <c r="B15" s="58">
        <v>0.2</v>
      </c>
    </row>
    <row r="16" spans="1:7">
      <c r="A16" s="39" t="s">
        <v>1379</v>
      </c>
      <c r="B16" s="58">
        <v>0.2</v>
      </c>
    </row>
    <row r="17" spans="1:5" ht="13.8" thickBot="1"/>
    <row r="18" spans="1:5" ht="13.8" thickBot="1">
      <c r="C18" s="40" t="s">
        <v>1380</v>
      </c>
      <c r="D18" s="46">
        <f>IF(ABS(MAX(D22:D23))&gt;=ABS(MIN(D22:D23)),2*ABS(MAX(D22:D23)),2*ABS(MIN(D22:D23)))</f>
        <v>0</v>
      </c>
      <c r="E18"/>
    </row>
    <row r="19" spans="1:5" ht="13.8" thickBot="1">
      <c r="C19" s="41" t="s">
        <v>1381</v>
      </c>
      <c r="D19" s="47"/>
      <c r="E19" s="46">
        <f>IF(ABS(MAX(E22:E23))&gt;=ABS(MIN(E22:E23)),2*ABS(MAX(E22:E23)),2*ABS(MIN(E22:E23)))</f>
        <v>0</v>
      </c>
    </row>
    <row r="20" spans="1:5">
      <c r="B20" s="68" t="s">
        <v>1382</v>
      </c>
      <c r="C20" s="68" t="s">
        <v>1383</v>
      </c>
      <c r="D20" s="69">
        <f>IF(ISNUMBER(B20),B20+1,1)</f>
        <v>1</v>
      </c>
      <c r="E20" s="70"/>
    </row>
    <row r="21" spans="1:5">
      <c r="B21" s="71" t="s">
        <v>1384</v>
      </c>
      <c r="C21" s="72"/>
      <c r="D21" s="73" t="s">
        <v>1385</v>
      </c>
      <c r="E21" s="74" t="s">
        <v>1386</v>
      </c>
    </row>
    <row r="22" spans="1:5">
      <c r="A22" s="42"/>
      <c r="B22" s="75">
        <v>1</v>
      </c>
      <c r="C22" s="76"/>
      <c r="D22" s="56"/>
      <c r="E22" s="57"/>
    </row>
  </sheetData>
  <phoneticPr fontId="4" type="noConversion"/>
  <conditionalFormatting sqref="D19">
    <cfRule type="cellIs" dxfId="43" priority="1" stopIfTrue="1" operator="greaterThan">
      <formula>$B$16</formula>
    </cfRule>
  </conditionalFormatting>
  <conditionalFormatting sqref="D22">
    <cfRule type="cellIs" dxfId="42" priority="2" stopIfTrue="1" operator="notBetween">
      <formula>$B$15/2</formula>
      <formula>-($B$15/2)</formula>
    </cfRule>
  </conditionalFormatting>
  <conditionalFormatting sqref="E22">
    <cfRule type="cellIs" dxfId="41" priority="3" stopIfTrue="1" operator="notBetween">
      <formula>$B$16/2</formula>
      <formula>-($B$16/2)</formula>
    </cfRule>
  </conditionalFormatting>
  <conditionalFormatting sqref="C5:C13">
    <cfRule type="expression" dxfId="40" priority="4" stopIfTrue="1">
      <formula>LEFT(C5)="&lt;"</formula>
    </cfRule>
  </conditionalFormatting>
  <pageMargins left="0.27559055118110237" right="0.19685039370078741" top="0.98425196850393704" bottom="0.98425196850393704" header="0.51181102362204722" footer="0.51181102362204722"/>
  <pageSetup paperSize="9" scale="93" orientation="portrait" r:id="rId1"/>
  <headerFooter alignWithMargins="0">
    <oddHeader>&amp;LDimensional Report&amp;RPE-AUT-AV-00011-001 Rev. D13</oddHeader>
    <oddFooter>&amp;L&amp;A&amp;RPage &amp;P of &amp;N, printed: &amp;D
&amp;F</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6">
    <pageSetUpPr fitToPage="1"/>
  </sheetPr>
  <dimension ref="A1:F21"/>
  <sheetViews>
    <sheetView workbookViewId="0">
      <selection activeCell="B6" sqref="B6"/>
    </sheetView>
  </sheetViews>
  <sheetFormatPr defaultColWidth="6.6640625" defaultRowHeight="13.2"/>
  <cols>
    <col min="1" max="1" width="21" style="38" customWidth="1"/>
    <col min="2" max="2" width="15.88671875" style="38" customWidth="1"/>
    <col min="3" max="3" width="17.44140625" style="38" customWidth="1"/>
    <col min="4" max="5" width="6.6640625" style="38" customWidth="1"/>
    <col min="6" max="6" width="8.33203125" style="38" bestFit="1" customWidth="1"/>
    <col min="7" max="16384" width="6.6640625" style="38"/>
  </cols>
  <sheetData>
    <row r="1" spans="1:4" ht="17.399999999999999">
      <c r="A1"/>
      <c r="B1" s="43" t="s">
        <v>1388</v>
      </c>
    </row>
    <row r="2" spans="1:4" ht="17.399999999999999">
      <c r="A2"/>
      <c r="B2" s="43" t="s">
        <v>1387</v>
      </c>
      <c r="C2"/>
    </row>
    <row r="3" spans="1:4" ht="17.399999999999999">
      <c r="A3" s="168" t="s">
        <v>1009</v>
      </c>
      <c r="B3" s="176"/>
      <c r="C3" s="104"/>
      <c r="D3" s="104"/>
    </row>
    <row r="4" spans="1:4">
      <c r="A4" s="320" t="s">
        <v>5</v>
      </c>
      <c r="B4" s="319" t="s">
        <v>605</v>
      </c>
      <c r="C4" s="167"/>
    </row>
    <row r="5" spans="1:4">
      <c r="A5" s="44" t="s">
        <v>1467</v>
      </c>
      <c r="B5" s="44" t="str">
        <f>VLOOKUP("txtOVCompany",LangRange,LangID,FALSE)</f>
        <v>Supplier</v>
      </c>
      <c r="C5" s="106" t="str">
        <f>CONCATENATE(HeaderData.OVID," ",HeaderData.OVName)</f>
        <v>&lt;Supplier-ID&gt; &lt;Supplier Company Name&gt;</v>
      </c>
    </row>
    <row r="6" spans="1:4">
      <c r="A6" s="44" t="s">
        <v>607</v>
      </c>
      <c r="B6" s="44" t="str">
        <f>VLOOKUP("txtTEPN",LangRange,LangID,FALSE)</f>
        <v>TE Part Number*</v>
      </c>
      <c r="C6" s="106" t="str">
        <f>CONCATENATE(HeaderData.TEPN,"Rev. ",HeaderData.TePnRev)</f>
        <v>&lt;1-1111111-1&gt;Rev. &lt;A&gt;</v>
      </c>
    </row>
    <row r="7" spans="1:4">
      <c r="A7" s="44" t="s">
        <v>608</v>
      </c>
      <c r="B7" s="44" t="str">
        <f>VLOOKUP("txtTeDwgNo",LangRange,LangID,FALSE)</f>
        <v>TE Drawing Number*</v>
      </c>
      <c r="C7" s="106" t="str">
        <f>CONCATENATE(HeaderData.TeDwgNo," Rev. ",HeaderData.TeDwgRev)</f>
        <v>&lt;1111111&gt; Rev. &lt;A1&gt;</v>
      </c>
    </row>
    <row r="8" spans="1:4">
      <c r="A8" s="44" t="s">
        <v>1377</v>
      </c>
      <c r="B8" s="44" t="str">
        <f>VLOOKUP("txtMeasureDate",LangRange,LangID,FALSE)</f>
        <v>Date of issue*</v>
      </c>
      <c r="C8" s="166" t="str">
        <f>HeaderData.MeasureDate</f>
        <v>&lt;31.12.2099&gt;</v>
      </c>
    </row>
    <row r="9" spans="1:4">
      <c r="A9" s="44" t="s">
        <v>606</v>
      </c>
      <c r="B9" s="44" t="str">
        <f>VLOOKUP("txtInspectorName",LangRange,LangID,FALSE)</f>
        <v>Inspector*</v>
      </c>
      <c r="C9" s="106" t="str">
        <f>HeaderData.InspectorName</f>
        <v>&lt;Joe Checker&gt;</v>
      </c>
    </row>
    <row r="10" spans="1:4">
      <c r="A10" s="44" t="s">
        <v>504</v>
      </c>
      <c r="B10" s="44" t="str">
        <f>VLOOKUP("txtTeReportRev",LangRange,LangID,FALSE)</f>
        <v>Revision of Dimensional Report*</v>
      </c>
      <c r="C10" s="106" t="str">
        <f>HeaderData.TeReportRev</f>
        <v>&lt;1&gt;</v>
      </c>
    </row>
    <row r="11" spans="1:4">
      <c r="A11" s="44" t="s">
        <v>686</v>
      </c>
      <c r="B11" s="44" t="str">
        <f>VLOOKUP("txtCavitiesQuantity",LangRange,LangID,FALSE)</f>
        <v>Quantity of cavities*</v>
      </c>
      <c r="C11" s="106" t="str">
        <f>HeaderData.QtyCav</f>
        <v>&lt;4&gt;</v>
      </c>
    </row>
    <row r="12" spans="1:4">
      <c r="A12" s="45"/>
      <c r="B12" s="44"/>
      <c r="C12" s="106"/>
    </row>
    <row r="13" spans="1:4">
      <c r="A13" s="45"/>
      <c r="B13" s="44"/>
      <c r="C13" s="106"/>
    </row>
    <row r="15" spans="1:4">
      <c r="A15" s="39" t="s">
        <v>1389</v>
      </c>
      <c r="B15" s="59">
        <v>0.2</v>
      </c>
    </row>
    <row r="16" spans="1:4" ht="13.8" thickBot="1"/>
    <row r="17" spans="1:6">
      <c r="D17" s="61"/>
      <c r="E17" s="62"/>
      <c r="F17" s="63" t="s">
        <v>1390</v>
      </c>
    </row>
    <row r="18" spans="1:6" ht="13.8" thickBot="1">
      <c r="D18" s="64"/>
      <c r="E18" s="65"/>
      <c r="F18" s="66">
        <f>MAX(F21:F22)</f>
        <v>0</v>
      </c>
    </row>
    <row r="19" spans="1:6">
      <c r="B19" s="68" t="s">
        <v>1382</v>
      </c>
      <c r="C19" s="77" t="s">
        <v>1383</v>
      </c>
      <c r="D19" s="69">
        <f>A19+1</f>
        <v>1</v>
      </c>
      <c r="E19" s="82"/>
      <c r="F19" s="83" t="s">
        <v>1391</v>
      </c>
    </row>
    <row r="20" spans="1:6" ht="13.8" thickBot="1">
      <c r="A20" s="42"/>
      <c r="B20" s="78" t="s">
        <v>1384</v>
      </c>
      <c r="C20" s="79"/>
      <c r="D20" s="84" t="s">
        <v>1385</v>
      </c>
      <c r="E20" s="85" t="s">
        <v>1386</v>
      </c>
      <c r="F20" s="86" t="s">
        <v>1392</v>
      </c>
    </row>
    <row r="21" spans="1:6">
      <c r="A21" s="42"/>
      <c r="B21" s="80">
        <v>1</v>
      </c>
      <c r="C21" s="81"/>
      <c r="D21" s="195"/>
      <c r="E21" s="196"/>
      <c r="F21" s="60">
        <f>2*SQRT(D21^2+E21^2)</f>
        <v>0</v>
      </c>
    </row>
  </sheetData>
  <phoneticPr fontId="4" type="noConversion"/>
  <conditionalFormatting sqref="F21">
    <cfRule type="cellIs" dxfId="39" priority="1" stopIfTrue="1" operator="greaterThan">
      <formula>$B$15</formula>
    </cfRule>
  </conditionalFormatting>
  <conditionalFormatting sqref="C5:C13">
    <cfRule type="expression" dxfId="38" priority="2" stopIfTrue="1">
      <formula>LEFT(C5)="&lt;"</formula>
    </cfRule>
  </conditionalFormatting>
  <pageMargins left="0.27559055118110237" right="0.19685039370078741" top="0.98425196850393704" bottom="0.98425196850393704" header="0.51181102362204722" footer="0.51181102362204722"/>
  <pageSetup paperSize="9" scale="89" orientation="portrait" r:id="rId1"/>
  <headerFooter alignWithMargins="0">
    <oddHeader>&amp;LDimensional Report&amp;RPE-AUT-AV-00011-001 Rev. D13</oddHeader>
    <oddFooter>&amp;L&amp;A&amp;RPage &amp;P of &amp;N, printed: &amp;D
&amp;F</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T73"/>
  <sheetViews>
    <sheetView view="pageBreakPreview" topLeftCell="F1" zoomScale="115" zoomScaleNormal="115" zoomScaleSheetLayoutView="115" workbookViewId="0">
      <selection activeCell="H19" sqref="H19"/>
    </sheetView>
  </sheetViews>
  <sheetFormatPr defaultColWidth="11" defaultRowHeight="13.2"/>
  <cols>
    <col min="1" max="1" width="16.88671875" hidden="1" customWidth="1"/>
    <col min="2" max="5" width="11" hidden="1" customWidth="1"/>
    <col min="6" max="6" width="25.6640625" customWidth="1"/>
    <col min="7" max="7" width="18.109375" style="18" customWidth="1"/>
    <col min="8" max="8" width="12.6640625" style="18" customWidth="1"/>
    <col min="9" max="9" width="20.6640625" style="18" customWidth="1"/>
    <col min="10" max="10" width="15.6640625" style="18" customWidth="1"/>
    <col min="11" max="11" width="25.6640625" style="18" customWidth="1"/>
    <col min="12" max="12" width="18.33203125" style="18" customWidth="1"/>
    <col min="13" max="13" width="12.6640625" style="18" customWidth="1"/>
    <col min="14" max="14" width="25.6640625" style="18" customWidth="1"/>
    <col min="15" max="15" width="12.6640625" style="18" customWidth="1"/>
    <col min="16" max="16" width="25.6640625" style="18" customWidth="1"/>
    <col min="17" max="17" width="18.33203125" style="18" customWidth="1"/>
    <col min="18" max="18" width="12.6640625" style="18" customWidth="1"/>
    <col min="19" max="19" width="25.6640625" style="18" customWidth="1"/>
    <col min="20" max="20" width="12.6640625" style="18" customWidth="1"/>
  </cols>
  <sheetData>
    <row r="1" spans="1:20" s="24" customFormat="1" ht="31.5" customHeight="1">
      <c r="F1" s="394" t="str">
        <f ca="1">OFFSET(Capability.Knoten,CapabilityTypeSelection,1)</f>
        <v>Machine Capability Study - Machinenfähigkeitsstudie</v>
      </c>
      <c r="G1" s="394"/>
      <c r="H1" s="394"/>
      <c r="I1" s="394"/>
      <c r="J1" s="394"/>
      <c r="K1" s="394" t="str">
        <f ca="1">OFFSET(Capability.Knoten,CapabilityTypeSelection,1)</f>
        <v>Machine Capability Study - Machinenfähigkeitsstudie</v>
      </c>
      <c r="L1" s="394"/>
      <c r="M1" s="394"/>
      <c r="N1" s="394"/>
      <c r="O1" s="394"/>
      <c r="P1" s="394" t="str">
        <f ca="1">OFFSET(Capability.Knoten,CapabilityTypeSelection,1)</f>
        <v>Machine Capability Study - Machinenfähigkeitsstudie</v>
      </c>
      <c r="Q1" s="394"/>
      <c r="R1" s="394"/>
      <c r="S1" s="394"/>
      <c r="T1" s="394"/>
    </row>
    <row r="2" spans="1:20" s="24" customFormat="1" ht="17.399999999999999">
      <c r="A2" s="24" t="s">
        <v>407</v>
      </c>
      <c r="B2" s="24" t="s">
        <v>404</v>
      </c>
      <c r="F2" s="198" t="s">
        <v>406</v>
      </c>
      <c r="G2" s="364" t="s">
        <v>407</v>
      </c>
      <c r="H2" s="193"/>
      <c r="I2" s="193"/>
      <c r="J2" s="193"/>
      <c r="K2" s="198" t="s">
        <v>406</v>
      </c>
      <c r="L2" s="364" t="s">
        <v>407</v>
      </c>
      <c r="M2" s="193"/>
      <c r="N2" s="193"/>
      <c r="O2" s="193"/>
      <c r="P2" s="198" t="s">
        <v>406</v>
      </c>
      <c r="Q2" s="364" t="s">
        <v>407</v>
      </c>
      <c r="R2" s="193"/>
      <c r="S2" s="193"/>
      <c r="T2" s="193"/>
    </row>
    <row r="3" spans="1:20" ht="26.4" customHeight="1">
      <c r="A3" t="s">
        <v>408</v>
      </c>
      <c r="B3" t="s">
        <v>405</v>
      </c>
      <c r="F3" s="95" t="s">
        <v>95</v>
      </c>
      <c r="G3" s="201"/>
      <c r="H3" s="393" t="s">
        <v>46</v>
      </c>
      <c r="I3" s="393"/>
      <c r="J3" s="205" t="str">
        <f>HeaderData.InspectorName</f>
        <v>&lt;Joe Checker&gt;</v>
      </c>
      <c r="K3" s="95" t="s">
        <v>95</v>
      </c>
      <c r="L3" s="201"/>
      <c r="M3" s="393" t="s">
        <v>46</v>
      </c>
      <c r="N3" s="393"/>
      <c r="O3" s="205" t="str">
        <f>HeaderData.InspectorName</f>
        <v>&lt;Joe Checker&gt;</v>
      </c>
      <c r="P3" s="95" t="s">
        <v>95</v>
      </c>
      <c r="Q3" s="201"/>
      <c r="R3" s="393" t="s">
        <v>46</v>
      </c>
      <c r="S3" s="393"/>
      <c r="T3" s="205" t="str">
        <f>HeaderData.InspectorName</f>
        <v>&lt;Joe Checker&gt;</v>
      </c>
    </row>
    <row r="4" spans="1:20" ht="26.4">
      <c r="F4" s="95" t="s">
        <v>49</v>
      </c>
      <c r="G4" s="374" t="str">
        <f>HeaderData.InspectionDevice</f>
        <v>&lt;Visual inspection&gt;</v>
      </c>
      <c r="H4" s="17"/>
      <c r="I4" s="105" t="s">
        <v>47</v>
      </c>
      <c r="J4" s="206" t="str">
        <f>HeaderData.QtyCav</f>
        <v>&lt;4&gt;</v>
      </c>
      <c r="K4" s="95" t="s">
        <v>49</v>
      </c>
      <c r="L4" s="374" t="str">
        <f>HeaderData.InspectionDevice</f>
        <v>&lt;Visual inspection&gt;</v>
      </c>
      <c r="M4" s="17"/>
      <c r="N4" s="105" t="s">
        <v>47</v>
      </c>
      <c r="O4" s="206" t="str">
        <f>HeaderData.QtyCav</f>
        <v>&lt;4&gt;</v>
      </c>
      <c r="P4" s="95" t="s">
        <v>49</v>
      </c>
      <c r="Q4" s="374" t="str">
        <f>HeaderData.InspectionDevice</f>
        <v>&lt;Visual inspection&gt;</v>
      </c>
      <c r="R4" s="17"/>
      <c r="S4" s="105" t="s">
        <v>47</v>
      </c>
      <c r="T4" s="206" t="str">
        <f>HeaderData.QtyCav</f>
        <v>&lt;4&gt;</v>
      </c>
    </row>
    <row r="5" spans="1:20" ht="27.75" customHeight="1">
      <c r="F5" s="95" t="s">
        <v>78</v>
      </c>
      <c r="G5" s="98" t="str">
        <f>HeaderData.TeOrderNo</f>
        <v>&lt;123456789&gt;</v>
      </c>
      <c r="H5" s="17"/>
      <c r="I5" s="95"/>
      <c r="J5" s="202"/>
      <c r="K5" s="95" t="s">
        <v>78</v>
      </c>
      <c r="L5" s="98" t="str">
        <f>HeaderData.TeOrderNo</f>
        <v>&lt;123456789&gt;</v>
      </c>
      <c r="M5" s="17"/>
      <c r="N5" s="95"/>
      <c r="O5" s="202"/>
      <c r="P5" s="95" t="s">
        <v>78</v>
      </c>
      <c r="Q5" s="98" t="str">
        <f>HeaderData.TeOrderNo</f>
        <v>&lt;123456789&gt;</v>
      </c>
      <c r="R5" s="17"/>
      <c r="S5" s="95"/>
      <c r="T5" s="202"/>
    </row>
    <row r="6" spans="1:20" ht="27" customHeight="1">
      <c r="A6" s="197">
        <v>1</v>
      </c>
      <c r="F6" s="17" t="s">
        <v>45</v>
      </c>
      <c r="G6" s="204" t="str">
        <f>HeaderData.TEPN</f>
        <v>&lt;1-1111111-1&gt;</v>
      </c>
      <c r="H6" s="17"/>
      <c r="I6" s="95" t="s">
        <v>48</v>
      </c>
      <c r="J6" s="206" t="str">
        <f>HeaderData!$C$45</f>
        <v>&lt;31.12.2099&gt;</v>
      </c>
      <c r="K6" s="17" t="s">
        <v>45</v>
      </c>
      <c r="L6" s="204" t="str">
        <f>HeaderData.TEPN</f>
        <v>&lt;1-1111111-1&gt;</v>
      </c>
      <c r="M6" s="17"/>
      <c r="N6" s="95" t="s">
        <v>48</v>
      </c>
      <c r="O6" s="206" t="str">
        <f>HeaderData!$C$45</f>
        <v>&lt;31.12.2099&gt;</v>
      </c>
      <c r="P6" s="17" t="s">
        <v>45</v>
      </c>
      <c r="Q6" s="204" t="str">
        <f>HeaderData.TEPN</f>
        <v>&lt;1-1111111-1&gt;</v>
      </c>
      <c r="R6" s="17"/>
      <c r="S6" s="95" t="s">
        <v>48</v>
      </c>
      <c r="T6" s="206" t="str">
        <f>HeaderData!$C$45</f>
        <v>&lt;31.12.2099&gt;</v>
      </c>
    </row>
    <row r="7" spans="1:20" ht="39.6">
      <c r="A7">
        <f>IF(CapabilityTypeSelection=2,1.33,1.67)</f>
        <v>1.67</v>
      </c>
      <c r="F7" s="95" t="s">
        <v>96</v>
      </c>
      <c r="G7" s="206" t="str">
        <f>HeaderData.MeasureDate</f>
        <v>&lt;31.12.2099&gt;</v>
      </c>
      <c r="H7" s="19"/>
      <c r="I7" s="20"/>
      <c r="J7" s="161"/>
      <c r="K7" s="95" t="s">
        <v>96</v>
      </c>
      <c r="L7" s="206" t="str">
        <f>HeaderData.MeasureDate</f>
        <v>&lt;31.12.2099&gt;</v>
      </c>
      <c r="M7" s="19"/>
      <c r="N7" s="20"/>
      <c r="O7" s="161"/>
      <c r="P7" s="95" t="s">
        <v>96</v>
      </c>
      <c r="Q7" s="206" t="str">
        <f>HeaderData.MeasureDate</f>
        <v>&lt;31.12.2099&gt;</v>
      </c>
      <c r="R7" s="19"/>
      <c r="S7" s="20"/>
      <c r="T7" s="161"/>
    </row>
    <row r="8" spans="1:20" ht="5.25" customHeight="1">
      <c r="F8" s="21"/>
      <c r="G8"/>
      <c r="H8"/>
      <c r="I8"/>
      <c r="J8" s="161"/>
      <c r="K8" s="21"/>
      <c r="L8"/>
      <c r="M8"/>
      <c r="N8"/>
      <c r="O8" s="161"/>
      <c r="P8" s="21"/>
      <c r="Q8"/>
      <c r="R8"/>
      <c r="S8"/>
      <c r="T8" s="161"/>
    </row>
    <row r="9" spans="1:20" ht="12.9" customHeight="1">
      <c r="F9" s="17" t="s">
        <v>18</v>
      </c>
      <c r="G9" s="96">
        <v>5</v>
      </c>
      <c r="H9" s="17" t="s">
        <v>19</v>
      </c>
      <c r="I9" s="106" t="s">
        <v>20</v>
      </c>
      <c r="J9" s="161"/>
      <c r="K9" s="17" t="s">
        <v>18</v>
      </c>
      <c r="L9" s="96">
        <v>5</v>
      </c>
      <c r="M9" s="17" t="s">
        <v>19</v>
      </c>
      <c r="N9" s="106" t="s">
        <v>20</v>
      </c>
      <c r="O9" s="161"/>
      <c r="P9" s="17" t="s">
        <v>18</v>
      </c>
      <c r="Q9" s="96">
        <v>5</v>
      </c>
      <c r="R9" s="17" t="s">
        <v>19</v>
      </c>
      <c r="S9" s="106" t="s">
        <v>20</v>
      </c>
      <c r="T9" s="161"/>
    </row>
    <row r="10" spans="1:20">
      <c r="F10" s="17" t="s">
        <v>21</v>
      </c>
      <c r="G10" s="97">
        <v>0.5</v>
      </c>
      <c r="H10" s="178">
        <f>G9+G10</f>
        <v>5.5</v>
      </c>
      <c r="I10" s="106" t="s">
        <v>22</v>
      </c>
      <c r="J10" s="203" t="str">
        <f>HeaderData.TeToolNo</f>
        <v>&lt;51-12345&gt;</v>
      </c>
      <c r="K10" s="17" t="s">
        <v>21</v>
      </c>
      <c r="L10" s="97">
        <v>0.5</v>
      </c>
      <c r="M10" s="178">
        <f>L9+L10</f>
        <v>5.5</v>
      </c>
      <c r="N10" s="106" t="s">
        <v>22</v>
      </c>
      <c r="O10" s="203" t="str">
        <f>HeaderData.TeToolNo</f>
        <v>&lt;51-12345&gt;</v>
      </c>
      <c r="P10" s="17" t="s">
        <v>21</v>
      </c>
      <c r="Q10" s="97">
        <v>0.5</v>
      </c>
      <c r="R10" s="178">
        <f>Q9+Q10</f>
        <v>5.5</v>
      </c>
      <c r="S10" s="106" t="s">
        <v>22</v>
      </c>
      <c r="T10" s="203" t="str">
        <f>HeaderData.TeToolNo</f>
        <v>&lt;51-12345&gt;</v>
      </c>
    </row>
    <row r="11" spans="1:20">
      <c r="F11" s="17" t="s">
        <v>23</v>
      </c>
      <c r="G11" s="97">
        <v>-0.5</v>
      </c>
      <c r="H11" s="178">
        <f>G9+G11</f>
        <v>4.5</v>
      </c>
      <c r="I11" s="106"/>
      <c r="J11"/>
      <c r="K11" s="17" t="s">
        <v>23</v>
      </c>
      <c r="L11" s="97">
        <v>-0.5</v>
      </c>
      <c r="M11" s="178">
        <f>L9+L11</f>
        <v>4.5</v>
      </c>
      <c r="N11" s="106"/>
      <c r="O11"/>
      <c r="P11" s="17" t="s">
        <v>23</v>
      </c>
      <c r="Q11" s="97">
        <v>-0.5</v>
      </c>
      <c r="R11" s="178">
        <f>Q9+Q11</f>
        <v>4.5</v>
      </c>
      <c r="S11" s="106"/>
      <c r="T11"/>
    </row>
    <row r="12" spans="1:20" ht="6" customHeight="1" thickBot="1">
      <c r="G12" s="107"/>
      <c r="H12"/>
      <c r="I12"/>
      <c r="J12"/>
      <c r="K12"/>
      <c r="L12" s="107"/>
      <c r="M12"/>
      <c r="N12"/>
      <c r="O12"/>
      <c r="P12"/>
      <c r="Q12" s="107"/>
      <c r="R12"/>
      <c r="S12"/>
      <c r="T12"/>
    </row>
    <row r="13" spans="1:20" s="24" customFormat="1" ht="15.75" customHeight="1">
      <c r="F13" s="179" t="s">
        <v>1393</v>
      </c>
      <c r="G13" s="180" t="s">
        <v>1394</v>
      </c>
      <c r="H13" s="22" t="s">
        <v>1395</v>
      </c>
      <c r="I13" s="22" t="s">
        <v>1396</v>
      </c>
      <c r="J13" s="23" t="s">
        <v>1397</v>
      </c>
      <c r="K13" s="179" t="s">
        <v>1393</v>
      </c>
      <c r="L13" s="180" t="s">
        <v>1394</v>
      </c>
      <c r="M13" s="22" t="s">
        <v>1395</v>
      </c>
      <c r="N13" s="22" t="s">
        <v>1396</v>
      </c>
      <c r="O13" s="23" t="s">
        <v>1397</v>
      </c>
      <c r="P13" s="179" t="s">
        <v>1393</v>
      </c>
      <c r="Q13" s="180" t="s">
        <v>1394</v>
      </c>
      <c r="R13" s="22" t="s">
        <v>1395</v>
      </c>
      <c r="S13" s="22" t="s">
        <v>1396</v>
      </c>
      <c r="T13" s="23" t="s">
        <v>1397</v>
      </c>
    </row>
    <row r="14" spans="1:20" s="25" customFormat="1" ht="10.199999999999999" customHeight="1">
      <c r="F14" s="26">
        <v>1</v>
      </c>
      <c r="G14" s="181">
        <v>4.95</v>
      </c>
      <c r="H14" s="358"/>
      <c r="I14" s="358"/>
      <c r="J14" s="359"/>
      <c r="K14" s="26">
        <v>1</v>
      </c>
      <c r="L14" s="181">
        <v>4.95</v>
      </c>
      <c r="M14" s="358"/>
      <c r="N14" s="358"/>
      <c r="O14" s="359"/>
      <c r="P14" s="26">
        <v>1</v>
      </c>
      <c r="Q14" s="181">
        <v>4.95</v>
      </c>
      <c r="R14" s="358"/>
      <c r="S14" s="358"/>
      <c r="T14" s="359"/>
    </row>
    <row r="15" spans="1:20" s="25" customFormat="1" ht="10.199999999999999" customHeight="1">
      <c r="F15" s="26">
        <v>2</v>
      </c>
      <c r="G15" s="181">
        <v>4.9000000000000004</v>
      </c>
      <c r="H15" s="358"/>
      <c r="I15" s="358"/>
      <c r="J15" s="359"/>
      <c r="K15" s="26">
        <v>2</v>
      </c>
      <c r="L15" s="181">
        <v>4.9000000000000004</v>
      </c>
      <c r="M15" s="358"/>
      <c r="N15" s="358"/>
      <c r="O15" s="359"/>
      <c r="P15" s="26">
        <v>2</v>
      </c>
      <c r="Q15" s="181">
        <v>4.9000000000000004</v>
      </c>
      <c r="R15" s="358"/>
      <c r="S15" s="358"/>
      <c r="T15" s="359"/>
    </row>
    <row r="16" spans="1:20" s="25" customFormat="1" ht="10.199999999999999" customHeight="1">
      <c r="F16" s="26">
        <v>3</v>
      </c>
      <c r="G16" s="181">
        <v>5.0999999999999996</v>
      </c>
      <c r="H16" s="358"/>
      <c r="I16" s="358"/>
      <c r="J16" s="359"/>
      <c r="K16" s="26">
        <v>3</v>
      </c>
      <c r="L16" s="181">
        <v>5.0999999999999996</v>
      </c>
      <c r="M16" s="358"/>
      <c r="N16" s="358"/>
      <c r="O16" s="359"/>
      <c r="P16" s="26">
        <v>3</v>
      </c>
      <c r="Q16" s="181">
        <v>5.0999999999999996</v>
      </c>
      <c r="R16" s="358"/>
      <c r="S16" s="358"/>
      <c r="T16" s="359"/>
    </row>
    <row r="17" spans="6:20" s="25" customFormat="1" ht="10.199999999999999" customHeight="1">
      <c r="F17" s="26">
        <v>4</v>
      </c>
      <c r="G17" s="181">
        <v>4.9000000000000004</v>
      </c>
      <c r="H17" s="358"/>
      <c r="I17" s="358"/>
      <c r="J17" s="359"/>
      <c r="K17" s="26">
        <v>4</v>
      </c>
      <c r="L17" s="181">
        <v>4.9000000000000004</v>
      </c>
      <c r="M17" s="358"/>
      <c r="N17" s="358"/>
      <c r="O17" s="359"/>
      <c r="P17" s="26">
        <v>4</v>
      </c>
      <c r="Q17" s="181">
        <v>4.9000000000000004</v>
      </c>
      <c r="R17" s="358"/>
      <c r="S17" s="358"/>
      <c r="T17" s="359"/>
    </row>
    <row r="18" spans="6:20" s="25" customFormat="1" ht="10.199999999999999" customHeight="1">
      <c r="F18" s="26">
        <v>5</v>
      </c>
      <c r="G18" s="181">
        <v>4.9000000000000004</v>
      </c>
      <c r="H18" s="358"/>
      <c r="I18" s="358"/>
      <c r="J18" s="359"/>
      <c r="K18" s="26">
        <v>5</v>
      </c>
      <c r="L18" s="181">
        <v>4.9000000000000004</v>
      </c>
      <c r="M18" s="358"/>
      <c r="N18" s="358"/>
      <c r="O18" s="359"/>
      <c r="P18" s="26">
        <v>5</v>
      </c>
      <c r="Q18" s="181">
        <v>4.9000000000000004</v>
      </c>
      <c r="R18" s="358"/>
      <c r="S18" s="358"/>
      <c r="T18" s="359"/>
    </row>
    <row r="19" spans="6:20" s="25" customFormat="1" ht="10.199999999999999" customHeight="1">
      <c r="F19" s="26">
        <v>6</v>
      </c>
      <c r="G19" s="181">
        <v>5.0999999999999996</v>
      </c>
      <c r="H19" s="358"/>
      <c r="I19" s="358"/>
      <c r="J19" s="359"/>
      <c r="K19" s="26">
        <v>6</v>
      </c>
      <c r="L19" s="181">
        <v>5.0999999999999996</v>
      </c>
      <c r="M19" s="358"/>
      <c r="N19" s="358"/>
      <c r="O19" s="359"/>
      <c r="P19" s="26">
        <v>6</v>
      </c>
      <c r="Q19" s="181">
        <v>5.0999999999999996</v>
      </c>
      <c r="R19" s="358"/>
      <c r="S19" s="358"/>
      <c r="T19" s="359"/>
    </row>
    <row r="20" spans="6:20" s="25" customFormat="1" ht="10.199999999999999" customHeight="1">
      <c r="F20" s="26">
        <v>7</v>
      </c>
      <c r="G20" s="181">
        <v>5</v>
      </c>
      <c r="H20" s="358"/>
      <c r="I20" s="358"/>
      <c r="J20" s="359"/>
      <c r="K20" s="26">
        <v>7</v>
      </c>
      <c r="L20" s="181">
        <v>5</v>
      </c>
      <c r="M20" s="358"/>
      <c r="N20" s="358"/>
      <c r="O20" s="359"/>
      <c r="P20" s="26">
        <v>7</v>
      </c>
      <c r="Q20" s="181">
        <v>5</v>
      </c>
      <c r="R20" s="358"/>
      <c r="S20" s="358"/>
      <c r="T20" s="359"/>
    </row>
    <row r="21" spans="6:20" s="25" customFormat="1" ht="10.199999999999999" customHeight="1">
      <c r="F21" s="26">
        <v>8</v>
      </c>
      <c r="G21" s="181">
        <v>4.9000000000000004</v>
      </c>
      <c r="H21" s="358"/>
      <c r="I21" s="358"/>
      <c r="J21" s="359"/>
      <c r="K21" s="26">
        <v>8</v>
      </c>
      <c r="L21" s="181">
        <v>4.9000000000000004</v>
      </c>
      <c r="M21" s="358"/>
      <c r="N21" s="358"/>
      <c r="O21" s="359"/>
      <c r="P21" s="26">
        <v>8</v>
      </c>
      <c r="Q21" s="181">
        <v>4.9000000000000004</v>
      </c>
      <c r="R21" s="358"/>
      <c r="S21" s="358"/>
      <c r="T21" s="359"/>
    </row>
    <row r="22" spans="6:20" s="25" customFormat="1" ht="10.199999999999999" customHeight="1">
      <c r="F22" s="26">
        <v>9</v>
      </c>
      <c r="G22" s="181">
        <v>5.0999999999999996</v>
      </c>
      <c r="H22" s="358"/>
      <c r="I22" s="358"/>
      <c r="J22" s="359"/>
      <c r="K22" s="26">
        <v>9</v>
      </c>
      <c r="L22" s="181">
        <v>5.0999999999999996</v>
      </c>
      <c r="M22" s="358"/>
      <c r="N22" s="358"/>
      <c r="O22" s="359"/>
      <c r="P22" s="26">
        <v>9</v>
      </c>
      <c r="Q22" s="181">
        <v>5.0999999999999996</v>
      </c>
      <c r="R22" s="358"/>
      <c r="S22" s="358"/>
      <c r="T22" s="359"/>
    </row>
    <row r="23" spans="6:20" s="25" customFormat="1" ht="10.199999999999999" customHeight="1">
      <c r="F23" s="26">
        <v>10</v>
      </c>
      <c r="G23" s="181">
        <v>4.9000000000000004</v>
      </c>
      <c r="H23" s="358"/>
      <c r="I23" s="358"/>
      <c r="J23" s="359"/>
      <c r="K23" s="26">
        <v>10</v>
      </c>
      <c r="L23" s="181">
        <v>4.9000000000000004</v>
      </c>
      <c r="M23" s="358"/>
      <c r="N23" s="358"/>
      <c r="O23" s="359"/>
      <c r="P23" s="26">
        <v>10</v>
      </c>
      <c r="Q23" s="181">
        <v>4.9000000000000004</v>
      </c>
      <c r="R23" s="358"/>
      <c r="S23" s="358"/>
      <c r="T23" s="359"/>
    </row>
    <row r="24" spans="6:20" s="25" customFormat="1" ht="10.199999999999999" customHeight="1">
      <c r="F24" s="26">
        <v>11</v>
      </c>
      <c r="G24" s="181">
        <v>4.9000000000000004</v>
      </c>
      <c r="H24" s="358"/>
      <c r="I24" s="358"/>
      <c r="J24" s="359"/>
      <c r="K24" s="26">
        <v>11</v>
      </c>
      <c r="L24" s="181">
        <v>4.9000000000000004</v>
      </c>
      <c r="M24" s="358"/>
      <c r="N24" s="358"/>
      <c r="O24" s="359"/>
      <c r="P24" s="26">
        <v>11</v>
      </c>
      <c r="Q24" s="181">
        <v>4.9000000000000004</v>
      </c>
      <c r="R24" s="358"/>
      <c r="S24" s="358"/>
      <c r="T24" s="359"/>
    </row>
    <row r="25" spans="6:20" s="25" customFormat="1" ht="10.199999999999999" customHeight="1">
      <c r="F25" s="26">
        <v>12</v>
      </c>
      <c r="G25" s="181">
        <v>5.0999999999999996</v>
      </c>
      <c r="H25" s="358"/>
      <c r="I25" s="358"/>
      <c r="J25" s="359"/>
      <c r="K25" s="26">
        <v>12</v>
      </c>
      <c r="L25" s="181">
        <v>5.0999999999999996</v>
      </c>
      <c r="M25" s="358"/>
      <c r="N25" s="358"/>
      <c r="O25" s="359"/>
      <c r="P25" s="26">
        <v>12</v>
      </c>
      <c r="Q25" s="181">
        <v>5.0999999999999996</v>
      </c>
      <c r="R25" s="358"/>
      <c r="S25" s="358"/>
      <c r="T25" s="359"/>
    </row>
    <row r="26" spans="6:20" s="25" customFormat="1" ht="10.199999999999999" customHeight="1">
      <c r="F26" s="26">
        <v>13</v>
      </c>
      <c r="G26" s="181">
        <v>5</v>
      </c>
      <c r="H26" s="358"/>
      <c r="I26" s="358"/>
      <c r="J26" s="359"/>
      <c r="K26" s="26">
        <v>13</v>
      </c>
      <c r="L26" s="181">
        <v>5</v>
      </c>
      <c r="M26" s="358"/>
      <c r="N26" s="358"/>
      <c r="O26" s="359"/>
      <c r="P26" s="26">
        <v>13</v>
      </c>
      <c r="Q26" s="181">
        <v>5</v>
      </c>
      <c r="R26" s="358"/>
      <c r="S26" s="358"/>
      <c r="T26" s="359"/>
    </row>
    <row r="27" spans="6:20" s="25" customFormat="1" ht="10.199999999999999" customHeight="1">
      <c r="F27" s="26">
        <v>14</v>
      </c>
      <c r="G27" s="181">
        <v>4.9000000000000004</v>
      </c>
      <c r="H27" s="358"/>
      <c r="I27" s="358"/>
      <c r="J27" s="359"/>
      <c r="K27" s="26">
        <v>14</v>
      </c>
      <c r="L27" s="181">
        <v>4.9000000000000004</v>
      </c>
      <c r="M27" s="358"/>
      <c r="N27" s="358"/>
      <c r="O27" s="359"/>
      <c r="P27" s="26">
        <v>14</v>
      </c>
      <c r="Q27" s="181">
        <v>4.9000000000000004</v>
      </c>
      <c r="R27" s="358"/>
      <c r="S27" s="358"/>
      <c r="T27" s="359"/>
    </row>
    <row r="28" spans="6:20" s="25" customFormat="1" ht="10.199999999999999" customHeight="1">
      <c r="F28" s="26">
        <v>15</v>
      </c>
      <c r="G28" s="181">
        <v>5.0999999999999996</v>
      </c>
      <c r="H28" s="358"/>
      <c r="I28" s="358"/>
      <c r="J28" s="359"/>
      <c r="K28" s="26">
        <v>15</v>
      </c>
      <c r="L28" s="181">
        <v>5.0999999999999996</v>
      </c>
      <c r="M28" s="358"/>
      <c r="N28" s="358"/>
      <c r="O28" s="359"/>
      <c r="P28" s="26">
        <v>15</v>
      </c>
      <c r="Q28" s="181">
        <v>5.0999999999999996</v>
      </c>
      <c r="R28" s="358"/>
      <c r="S28" s="358"/>
      <c r="T28" s="359"/>
    </row>
    <row r="29" spans="6:20" s="25" customFormat="1" ht="10.199999999999999" customHeight="1">
      <c r="F29" s="26">
        <v>16</v>
      </c>
      <c r="G29" s="181">
        <v>4.9000000000000004</v>
      </c>
      <c r="H29" s="358"/>
      <c r="I29" s="358"/>
      <c r="J29" s="359"/>
      <c r="K29" s="26">
        <v>16</v>
      </c>
      <c r="L29" s="181">
        <v>4.9000000000000004</v>
      </c>
      <c r="M29" s="358"/>
      <c r="N29" s="358"/>
      <c r="O29" s="359"/>
      <c r="P29" s="26">
        <v>16</v>
      </c>
      <c r="Q29" s="181">
        <v>4.9000000000000004</v>
      </c>
      <c r="R29" s="358"/>
      <c r="S29" s="358"/>
      <c r="T29" s="359"/>
    </row>
    <row r="30" spans="6:20" s="25" customFormat="1" ht="10.199999999999999" customHeight="1">
      <c r="F30" s="26">
        <v>17</v>
      </c>
      <c r="G30" s="181">
        <v>4.9000000000000004</v>
      </c>
      <c r="H30" s="358"/>
      <c r="I30" s="358"/>
      <c r="J30" s="359"/>
      <c r="K30" s="26">
        <v>17</v>
      </c>
      <c r="L30" s="181">
        <v>4.9000000000000004</v>
      </c>
      <c r="M30" s="358"/>
      <c r="N30" s="358"/>
      <c r="O30" s="359"/>
      <c r="P30" s="26">
        <v>17</v>
      </c>
      <c r="Q30" s="181">
        <v>4.9000000000000004</v>
      </c>
      <c r="R30" s="358"/>
      <c r="S30" s="358"/>
      <c r="T30" s="359"/>
    </row>
    <row r="31" spans="6:20" s="25" customFormat="1" ht="10.199999999999999" customHeight="1">
      <c r="F31" s="26">
        <v>18</v>
      </c>
      <c r="G31" s="181">
        <v>5.0999999999999996</v>
      </c>
      <c r="H31" s="358"/>
      <c r="I31" s="358"/>
      <c r="J31" s="359"/>
      <c r="K31" s="26">
        <v>18</v>
      </c>
      <c r="L31" s="181">
        <v>5.0999999999999996</v>
      </c>
      <c r="M31" s="358"/>
      <c r="N31" s="358"/>
      <c r="O31" s="359"/>
      <c r="P31" s="26">
        <v>18</v>
      </c>
      <c r="Q31" s="181">
        <v>5.0999999999999996</v>
      </c>
      <c r="R31" s="358"/>
      <c r="S31" s="358"/>
      <c r="T31" s="359"/>
    </row>
    <row r="32" spans="6:20" s="25" customFormat="1" ht="9.75" customHeight="1">
      <c r="F32" s="26">
        <v>19</v>
      </c>
      <c r="G32" s="181">
        <v>4.9000000000000004</v>
      </c>
      <c r="H32" s="358"/>
      <c r="I32" s="358"/>
      <c r="J32" s="359"/>
      <c r="K32" s="26">
        <v>19</v>
      </c>
      <c r="L32" s="181">
        <v>4.9000000000000004</v>
      </c>
      <c r="M32" s="358"/>
      <c r="N32" s="358"/>
      <c r="O32" s="359"/>
      <c r="P32" s="26">
        <v>19</v>
      </c>
      <c r="Q32" s="181">
        <v>4.9000000000000004</v>
      </c>
      <c r="R32" s="358"/>
      <c r="S32" s="358"/>
      <c r="T32" s="359"/>
    </row>
    <row r="33" spans="6:20" s="25" customFormat="1" ht="10.199999999999999" customHeight="1">
      <c r="F33" s="26">
        <v>20</v>
      </c>
      <c r="G33" s="181">
        <v>5.0999999999999996</v>
      </c>
      <c r="H33" s="358"/>
      <c r="I33" s="358"/>
      <c r="J33" s="359"/>
      <c r="K33" s="26">
        <v>20</v>
      </c>
      <c r="L33" s="181">
        <v>5.0999999999999996</v>
      </c>
      <c r="M33" s="358"/>
      <c r="N33" s="358"/>
      <c r="O33" s="359"/>
      <c r="P33" s="26">
        <v>20</v>
      </c>
      <c r="Q33" s="181">
        <v>5.0999999999999996</v>
      </c>
      <c r="R33" s="358"/>
      <c r="S33" s="358"/>
      <c r="T33" s="359"/>
    </row>
    <row r="34" spans="6:20" s="25" customFormat="1" ht="10.199999999999999" customHeight="1">
      <c r="F34" s="26">
        <v>21</v>
      </c>
      <c r="G34" s="181">
        <v>4.9000000000000004</v>
      </c>
      <c r="H34" s="358"/>
      <c r="I34" s="358"/>
      <c r="J34" s="359"/>
      <c r="K34" s="26">
        <v>21</v>
      </c>
      <c r="L34" s="181">
        <v>4.9000000000000004</v>
      </c>
      <c r="M34" s="358"/>
      <c r="N34" s="358"/>
      <c r="O34" s="359"/>
      <c r="P34" s="26">
        <v>21</v>
      </c>
      <c r="Q34" s="181">
        <v>4.9000000000000004</v>
      </c>
      <c r="R34" s="358"/>
      <c r="S34" s="358"/>
      <c r="T34" s="359"/>
    </row>
    <row r="35" spans="6:20" s="25" customFormat="1" ht="10.199999999999999" customHeight="1">
      <c r="F35" s="26">
        <v>22</v>
      </c>
      <c r="G35" s="181">
        <v>4.9000000000000004</v>
      </c>
      <c r="H35" s="358"/>
      <c r="I35" s="358"/>
      <c r="J35" s="359"/>
      <c r="K35" s="26">
        <v>22</v>
      </c>
      <c r="L35" s="181">
        <v>4.9000000000000004</v>
      </c>
      <c r="M35" s="358"/>
      <c r="N35" s="358"/>
      <c r="O35" s="359"/>
      <c r="P35" s="26">
        <v>22</v>
      </c>
      <c r="Q35" s="181">
        <v>4.9000000000000004</v>
      </c>
      <c r="R35" s="358"/>
      <c r="S35" s="358"/>
      <c r="T35" s="359"/>
    </row>
    <row r="36" spans="6:20" s="25" customFormat="1" ht="10.199999999999999" customHeight="1">
      <c r="F36" s="26">
        <v>23</v>
      </c>
      <c r="G36" s="181">
        <v>5.0999999999999996</v>
      </c>
      <c r="H36" s="358"/>
      <c r="I36" s="358"/>
      <c r="J36" s="359"/>
      <c r="K36" s="26">
        <v>23</v>
      </c>
      <c r="L36" s="181">
        <v>5.0999999999999996</v>
      </c>
      <c r="M36" s="358"/>
      <c r="N36" s="358"/>
      <c r="O36" s="359"/>
      <c r="P36" s="26">
        <v>23</v>
      </c>
      <c r="Q36" s="181">
        <v>5.0999999999999996</v>
      </c>
      <c r="R36" s="358"/>
      <c r="S36" s="358"/>
      <c r="T36" s="359"/>
    </row>
    <row r="37" spans="6:20" s="25" customFormat="1" ht="10.199999999999999" customHeight="1">
      <c r="F37" s="26">
        <v>24</v>
      </c>
      <c r="G37" s="181">
        <v>4.9000000000000004</v>
      </c>
      <c r="H37" s="358"/>
      <c r="I37" s="358"/>
      <c r="J37" s="359"/>
      <c r="K37" s="26">
        <v>24</v>
      </c>
      <c r="L37" s="181">
        <v>4.9000000000000004</v>
      </c>
      <c r="M37" s="358"/>
      <c r="N37" s="358"/>
      <c r="O37" s="359"/>
      <c r="P37" s="26">
        <v>24</v>
      </c>
      <c r="Q37" s="181">
        <v>4.9000000000000004</v>
      </c>
      <c r="R37" s="358"/>
      <c r="S37" s="358"/>
      <c r="T37" s="359"/>
    </row>
    <row r="38" spans="6:20" s="25" customFormat="1" ht="10.199999999999999" customHeight="1">
      <c r="F38" s="26">
        <v>25</v>
      </c>
      <c r="G38" s="181">
        <v>5.0999999999999996</v>
      </c>
      <c r="H38" s="358"/>
      <c r="I38" s="358"/>
      <c r="J38" s="359"/>
      <c r="K38" s="26">
        <v>25</v>
      </c>
      <c r="L38" s="181">
        <v>5.0999999999999996</v>
      </c>
      <c r="M38" s="358"/>
      <c r="N38" s="358"/>
      <c r="O38" s="359"/>
      <c r="P38" s="26">
        <v>25</v>
      </c>
      <c r="Q38" s="181">
        <v>5.0999999999999996</v>
      </c>
      <c r="R38" s="358"/>
      <c r="S38" s="358"/>
      <c r="T38" s="359"/>
    </row>
    <row r="39" spans="6:20" s="25" customFormat="1" ht="10.199999999999999" customHeight="1">
      <c r="F39" s="26">
        <v>26</v>
      </c>
      <c r="G39" s="181">
        <v>4.9000000000000004</v>
      </c>
      <c r="H39" s="358"/>
      <c r="I39" s="358"/>
      <c r="J39" s="359"/>
      <c r="K39" s="26">
        <v>26</v>
      </c>
      <c r="L39" s="181">
        <v>4.9000000000000004</v>
      </c>
      <c r="M39" s="358"/>
      <c r="N39" s="358"/>
      <c r="O39" s="359"/>
      <c r="P39" s="26">
        <v>26</v>
      </c>
      <c r="Q39" s="181">
        <v>4.9000000000000004</v>
      </c>
      <c r="R39" s="358"/>
      <c r="S39" s="358"/>
      <c r="T39" s="359"/>
    </row>
    <row r="40" spans="6:20" s="25" customFormat="1" ht="10.199999999999999" customHeight="1">
      <c r="F40" s="27">
        <v>27</v>
      </c>
      <c r="G40" s="181">
        <v>4.9000000000000004</v>
      </c>
      <c r="H40" s="358"/>
      <c r="I40" s="358"/>
      <c r="J40" s="359"/>
      <c r="K40" s="27">
        <v>27</v>
      </c>
      <c r="L40" s="181">
        <v>4.9000000000000004</v>
      </c>
      <c r="M40" s="358"/>
      <c r="N40" s="358"/>
      <c r="O40" s="359"/>
      <c r="P40" s="27">
        <v>27</v>
      </c>
      <c r="Q40" s="181">
        <v>4.9000000000000004</v>
      </c>
      <c r="R40" s="358"/>
      <c r="S40" s="358"/>
      <c r="T40" s="359"/>
    </row>
    <row r="41" spans="6:20" s="25" customFormat="1" ht="10.199999999999999" customHeight="1">
      <c r="F41" s="27">
        <v>28</v>
      </c>
      <c r="G41" s="181">
        <v>5.0999999999999996</v>
      </c>
      <c r="H41" s="358"/>
      <c r="I41" s="358"/>
      <c r="J41" s="359"/>
      <c r="K41" s="27">
        <v>28</v>
      </c>
      <c r="L41" s="181">
        <v>5.0999999999999996</v>
      </c>
      <c r="M41" s="358"/>
      <c r="N41" s="358"/>
      <c r="O41" s="359"/>
      <c r="P41" s="27">
        <v>28</v>
      </c>
      <c r="Q41" s="181">
        <v>5.0999999999999996</v>
      </c>
      <c r="R41" s="358"/>
      <c r="S41" s="358"/>
      <c r="T41" s="359"/>
    </row>
    <row r="42" spans="6:20" s="25" customFormat="1" ht="10.199999999999999" customHeight="1">
      <c r="F42" s="27">
        <v>29</v>
      </c>
      <c r="G42" s="181">
        <v>5.0999999999999996</v>
      </c>
      <c r="H42" s="358"/>
      <c r="I42" s="358"/>
      <c r="J42" s="359"/>
      <c r="K42" s="27">
        <v>29</v>
      </c>
      <c r="L42" s="181">
        <v>5.0999999999999996</v>
      </c>
      <c r="M42" s="358"/>
      <c r="N42" s="358"/>
      <c r="O42" s="359"/>
      <c r="P42" s="27">
        <v>29</v>
      </c>
      <c r="Q42" s="181">
        <v>5.0999999999999996</v>
      </c>
      <c r="R42" s="358"/>
      <c r="S42" s="358"/>
      <c r="T42" s="359"/>
    </row>
    <row r="43" spans="6:20" s="25" customFormat="1" ht="10.199999999999999" customHeight="1">
      <c r="F43" s="27">
        <v>30</v>
      </c>
      <c r="G43" s="181">
        <v>4.9000000000000004</v>
      </c>
      <c r="H43" s="358"/>
      <c r="I43" s="358"/>
      <c r="J43" s="359"/>
      <c r="K43" s="27">
        <v>30</v>
      </c>
      <c r="L43" s="181">
        <v>4.9000000000000004</v>
      </c>
      <c r="M43" s="358"/>
      <c r="N43" s="358"/>
      <c r="O43" s="359"/>
      <c r="P43" s="27">
        <v>30</v>
      </c>
      <c r="Q43" s="181">
        <v>4.9000000000000004</v>
      </c>
      <c r="R43" s="358"/>
      <c r="S43" s="358"/>
      <c r="T43" s="359"/>
    </row>
    <row r="44" spans="6:20" s="25" customFormat="1" ht="10.199999999999999" customHeight="1">
      <c r="F44" s="27">
        <v>31</v>
      </c>
      <c r="G44" s="181">
        <v>4.9000000000000004</v>
      </c>
      <c r="H44" s="358"/>
      <c r="I44" s="358"/>
      <c r="J44" s="359"/>
      <c r="K44" s="27">
        <v>31</v>
      </c>
      <c r="L44" s="181">
        <v>4.9000000000000004</v>
      </c>
      <c r="M44" s="358"/>
      <c r="N44" s="358"/>
      <c r="O44" s="359"/>
      <c r="P44" s="27">
        <v>31</v>
      </c>
      <c r="Q44" s="181">
        <v>4.9000000000000004</v>
      </c>
      <c r="R44" s="358"/>
      <c r="S44" s="358"/>
      <c r="T44" s="359"/>
    </row>
    <row r="45" spans="6:20" s="25" customFormat="1" ht="10.199999999999999" customHeight="1">
      <c r="F45" s="27">
        <v>32</v>
      </c>
      <c r="G45" s="181">
        <v>4.9000000000000004</v>
      </c>
      <c r="H45" s="358"/>
      <c r="I45" s="358"/>
      <c r="J45" s="359"/>
      <c r="K45" s="27">
        <v>32</v>
      </c>
      <c r="L45" s="181">
        <v>4.9000000000000004</v>
      </c>
      <c r="M45" s="358"/>
      <c r="N45" s="358"/>
      <c r="O45" s="359"/>
      <c r="P45" s="27">
        <v>32</v>
      </c>
      <c r="Q45" s="181">
        <v>4.9000000000000004</v>
      </c>
      <c r="R45" s="358"/>
      <c r="S45" s="358"/>
      <c r="T45" s="359"/>
    </row>
    <row r="46" spans="6:20" s="25" customFormat="1" ht="10.199999999999999" customHeight="1">
      <c r="F46" s="27">
        <v>33</v>
      </c>
      <c r="G46" s="181">
        <v>4.9000000000000004</v>
      </c>
      <c r="H46" s="358"/>
      <c r="I46" s="358"/>
      <c r="J46" s="359"/>
      <c r="K46" s="27">
        <v>33</v>
      </c>
      <c r="L46" s="181">
        <v>4.9000000000000004</v>
      </c>
      <c r="M46" s="358"/>
      <c r="N46" s="358"/>
      <c r="O46" s="359"/>
      <c r="P46" s="27">
        <v>33</v>
      </c>
      <c r="Q46" s="181">
        <v>4.9000000000000004</v>
      </c>
      <c r="R46" s="358"/>
      <c r="S46" s="358"/>
      <c r="T46" s="359"/>
    </row>
    <row r="47" spans="6:20" s="25" customFormat="1" ht="10.199999999999999" customHeight="1">
      <c r="F47" s="27">
        <v>34</v>
      </c>
      <c r="G47" s="181">
        <v>4.9000000000000004</v>
      </c>
      <c r="H47" s="358"/>
      <c r="I47" s="358"/>
      <c r="J47" s="359"/>
      <c r="K47" s="27">
        <v>34</v>
      </c>
      <c r="L47" s="181">
        <v>4.9000000000000004</v>
      </c>
      <c r="M47" s="358"/>
      <c r="N47" s="358"/>
      <c r="O47" s="359"/>
      <c r="P47" s="27">
        <v>34</v>
      </c>
      <c r="Q47" s="181">
        <v>4.9000000000000004</v>
      </c>
      <c r="R47" s="358"/>
      <c r="S47" s="358"/>
      <c r="T47" s="359"/>
    </row>
    <row r="48" spans="6:20" s="25" customFormat="1" ht="10.199999999999999" customHeight="1">
      <c r="F48" s="26">
        <v>35</v>
      </c>
      <c r="G48" s="181">
        <v>4.9000000000000004</v>
      </c>
      <c r="H48" s="358"/>
      <c r="I48" s="358"/>
      <c r="J48" s="359"/>
      <c r="K48" s="26">
        <v>35</v>
      </c>
      <c r="L48" s="181">
        <v>4.9000000000000004</v>
      </c>
      <c r="M48" s="358"/>
      <c r="N48" s="358"/>
      <c r="O48" s="359"/>
      <c r="P48" s="26">
        <v>35</v>
      </c>
      <c r="Q48" s="181">
        <v>4.9000000000000004</v>
      </c>
      <c r="R48" s="358"/>
      <c r="S48" s="358"/>
      <c r="T48" s="359"/>
    </row>
    <row r="49" spans="6:20" s="25" customFormat="1" ht="10.199999999999999" customHeight="1">
      <c r="F49" s="26">
        <v>36</v>
      </c>
      <c r="G49" s="181">
        <v>5.0999999999999996</v>
      </c>
      <c r="H49" s="358"/>
      <c r="I49" s="358"/>
      <c r="J49" s="359"/>
      <c r="K49" s="26">
        <v>36</v>
      </c>
      <c r="L49" s="181">
        <v>5.0999999999999996</v>
      </c>
      <c r="M49" s="358"/>
      <c r="N49" s="358"/>
      <c r="O49" s="359"/>
      <c r="P49" s="26">
        <v>36</v>
      </c>
      <c r="Q49" s="181">
        <v>5.0999999999999996</v>
      </c>
      <c r="R49" s="358"/>
      <c r="S49" s="358"/>
      <c r="T49" s="359"/>
    </row>
    <row r="50" spans="6:20" s="25" customFormat="1" ht="10.199999999999999" customHeight="1">
      <c r="F50" s="26">
        <v>37</v>
      </c>
      <c r="G50" s="181">
        <v>4.9000000000000004</v>
      </c>
      <c r="H50" s="358"/>
      <c r="I50" s="358"/>
      <c r="J50" s="359"/>
      <c r="K50" s="26">
        <v>37</v>
      </c>
      <c r="L50" s="181">
        <v>4.9000000000000004</v>
      </c>
      <c r="M50" s="358"/>
      <c r="N50" s="358"/>
      <c r="O50" s="359"/>
      <c r="P50" s="26">
        <v>37</v>
      </c>
      <c r="Q50" s="181">
        <v>4.9000000000000004</v>
      </c>
      <c r="R50" s="358"/>
      <c r="S50" s="358"/>
      <c r="T50" s="359"/>
    </row>
    <row r="51" spans="6:20" s="25" customFormat="1" ht="10.199999999999999" customHeight="1">
      <c r="F51" s="26">
        <v>38</v>
      </c>
      <c r="G51" s="181">
        <v>5.0999999999999996</v>
      </c>
      <c r="H51" s="358"/>
      <c r="I51" s="358"/>
      <c r="J51" s="359"/>
      <c r="K51" s="26">
        <v>38</v>
      </c>
      <c r="L51" s="181">
        <v>5.0999999999999996</v>
      </c>
      <c r="M51" s="358"/>
      <c r="N51" s="358"/>
      <c r="O51" s="359"/>
      <c r="P51" s="26">
        <v>38</v>
      </c>
      <c r="Q51" s="181">
        <v>5.0999999999999996</v>
      </c>
      <c r="R51" s="358"/>
      <c r="S51" s="358"/>
      <c r="T51" s="359"/>
    </row>
    <row r="52" spans="6:20" s="25" customFormat="1" ht="10.199999999999999" customHeight="1">
      <c r="F52" s="26">
        <v>39</v>
      </c>
      <c r="G52" s="181">
        <v>4.9000000000000004</v>
      </c>
      <c r="H52" s="358"/>
      <c r="I52" s="358"/>
      <c r="J52" s="359"/>
      <c r="K52" s="26">
        <v>39</v>
      </c>
      <c r="L52" s="181">
        <v>4.9000000000000004</v>
      </c>
      <c r="M52" s="358"/>
      <c r="N52" s="358"/>
      <c r="O52" s="359"/>
      <c r="P52" s="26">
        <v>39</v>
      </c>
      <c r="Q52" s="181">
        <v>4.9000000000000004</v>
      </c>
      <c r="R52" s="358"/>
      <c r="S52" s="358"/>
      <c r="T52" s="359"/>
    </row>
    <row r="53" spans="6:20" s="25" customFormat="1" ht="10.199999999999999" customHeight="1">
      <c r="F53" s="26">
        <v>40</v>
      </c>
      <c r="G53" s="181">
        <v>4.9000000000000004</v>
      </c>
      <c r="H53" s="358"/>
      <c r="I53" s="358"/>
      <c r="J53" s="359"/>
      <c r="K53" s="26">
        <v>40</v>
      </c>
      <c r="L53" s="181">
        <v>4.9000000000000004</v>
      </c>
      <c r="M53" s="358"/>
      <c r="N53" s="358"/>
      <c r="O53" s="359"/>
      <c r="P53" s="26">
        <v>40</v>
      </c>
      <c r="Q53" s="181">
        <v>4.9000000000000004</v>
      </c>
      <c r="R53" s="358"/>
      <c r="S53" s="358"/>
      <c r="T53" s="359"/>
    </row>
    <row r="54" spans="6:20" s="25" customFormat="1" ht="10.199999999999999" customHeight="1">
      <c r="F54" s="26">
        <v>41</v>
      </c>
      <c r="G54" s="181">
        <v>5.0999999999999996</v>
      </c>
      <c r="H54" s="358"/>
      <c r="I54" s="358"/>
      <c r="J54" s="359"/>
      <c r="K54" s="26">
        <v>41</v>
      </c>
      <c r="L54" s="181">
        <v>5.0999999999999996</v>
      </c>
      <c r="M54" s="358"/>
      <c r="N54" s="358"/>
      <c r="O54" s="359"/>
      <c r="P54" s="26">
        <v>41</v>
      </c>
      <c r="Q54" s="181">
        <v>5.0999999999999996</v>
      </c>
      <c r="R54" s="358"/>
      <c r="S54" s="358"/>
      <c r="T54" s="359"/>
    </row>
    <row r="55" spans="6:20" s="25" customFormat="1" ht="10.199999999999999" customHeight="1">
      <c r="F55" s="27">
        <v>42</v>
      </c>
      <c r="G55" s="181">
        <v>5.0999999999999996</v>
      </c>
      <c r="H55" s="358"/>
      <c r="I55" s="358"/>
      <c r="J55" s="360"/>
      <c r="K55" s="27">
        <v>42</v>
      </c>
      <c r="L55" s="181">
        <v>5.0999999999999996</v>
      </c>
      <c r="M55" s="358"/>
      <c r="N55" s="358"/>
      <c r="O55" s="360"/>
      <c r="P55" s="27">
        <v>42</v>
      </c>
      <c r="Q55" s="181">
        <v>5.0999999999999996</v>
      </c>
      <c r="R55" s="358"/>
      <c r="S55" s="358"/>
      <c r="T55" s="360"/>
    </row>
    <row r="56" spans="6:20" s="25" customFormat="1" ht="10.199999999999999" customHeight="1">
      <c r="F56" s="27">
        <v>43</v>
      </c>
      <c r="G56" s="181">
        <v>5.0999999999999996</v>
      </c>
      <c r="H56" s="358"/>
      <c r="I56" s="358"/>
      <c r="J56" s="360"/>
      <c r="K56" s="27">
        <v>43</v>
      </c>
      <c r="L56" s="181">
        <v>5.0999999999999996</v>
      </c>
      <c r="M56" s="358"/>
      <c r="N56" s="358"/>
      <c r="O56" s="360"/>
      <c r="P56" s="27">
        <v>43</v>
      </c>
      <c r="Q56" s="181">
        <v>5.0999999999999996</v>
      </c>
      <c r="R56" s="358"/>
      <c r="S56" s="358"/>
      <c r="T56" s="360"/>
    </row>
    <row r="57" spans="6:20" s="25" customFormat="1" ht="10.199999999999999" customHeight="1">
      <c r="F57" s="27">
        <v>44</v>
      </c>
      <c r="G57" s="181">
        <v>4.9000000000000004</v>
      </c>
      <c r="H57" s="358"/>
      <c r="I57" s="358"/>
      <c r="J57" s="359"/>
      <c r="K57" s="27">
        <v>44</v>
      </c>
      <c r="L57" s="181">
        <v>4.9000000000000004</v>
      </c>
      <c r="M57" s="358"/>
      <c r="N57" s="358"/>
      <c r="O57" s="359"/>
      <c r="P57" s="27">
        <v>44</v>
      </c>
      <c r="Q57" s="181">
        <v>4.9000000000000004</v>
      </c>
      <c r="R57" s="358"/>
      <c r="S57" s="358"/>
      <c r="T57" s="359"/>
    </row>
    <row r="58" spans="6:20" s="25" customFormat="1" ht="10.199999999999999" customHeight="1">
      <c r="F58" s="27">
        <v>45</v>
      </c>
      <c r="G58" s="181">
        <v>4.9000000000000004</v>
      </c>
      <c r="H58" s="358"/>
      <c r="I58" s="358"/>
      <c r="J58" s="359"/>
      <c r="K58" s="27">
        <v>45</v>
      </c>
      <c r="L58" s="181">
        <v>4.9000000000000004</v>
      </c>
      <c r="M58" s="358"/>
      <c r="N58" s="358"/>
      <c r="O58" s="359"/>
      <c r="P58" s="27">
        <v>45</v>
      </c>
      <c r="Q58" s="181">
        <v>4.9000000000000004</v>
      </c>
      <c r="R58" s="358"/>
      <c r="S58" s="358"/>
      <c r="T58" s="359"/>
    </row>
    <row r="59" spans="6:20" s="25" customFormat="1" ht="10.199999999999999" customHeight="1">
      <c r="F59" s="27">
        <v>46</v>
      </c>
      <c r="G59" s="182">
        <v>5.0999999999999996</v>
      </c>
      <c r="H59" s="361"/>
      <c r="I59" s="361"/>
      <c r="J59" s="359"/>
      <c r="K59" s="27">
        <v>46</v>
      </c>
      <c r="L59" s="182">
        <v>5.0999999999999996</v>
      </c>
      <c r="M59" s="361"/>
      <c r="N59" s="361"/>
      <c r="O59" s="359"/>
      <c r="P59" s="27">
        <v>46</v>
      </c>
      <c r="Q59" s="182">
        <v>5.0999999999999996</v>
      </c>
      <c r="R59" s="361"/>
      <c r="S59" s="361"/>
      <c r="T59" s="359"/>
    </row>
    <row r="60" spans="6:20" s="25" customFormat="1" ht="10.199999999999999" customHeight="1">
      <c r="F60" s="27">
        <v>47</v>
      </c>
      <c r="G60" s="182">
        <v>4.9000000000000004</v>
      </c>
      <c r="H60" s="361"/>
      <c r="I60" s="361"/>
      <c r="J60" s="359"/>
      <c r="K60" s="27">
        <v>47</v>
      </c>
      <c r="L60" s="182">
        <v>4.9000000000000004</v>
      </c>
      <c r="M60" s="361"/>
      <c r="N60" s="361"/>
      <c r="O60" s="359"/>
      <c r="P60" s="27">
        <v>47</v>
      </c>
      <c r="Q60" s="182">
        <v>4.9000000000000004</v>
      </c>
      <c r="R60" s="361"/>
      <c r="S60" s="361"/>
      <c r="T60" s="359"/>
    </row>
    <row r="61" spans="6:20" s="25" customFormat="1" ht="10.199999999999999" customHeight="1">
      <c r="F61" s="27">
        <v>48</v>
      </c>
      <c r="G61" s="182">
        <v>5.0999999999999996</v>
      </c>
      <c r="H61" s="361"/>
      <c r="I61" s="361"/>
      <c r="J61" s="359"/>
      <c r="K61" s="27">
        <v>48</v>
      </c>
      <c r="L61" s="182">
        <v>5.0999999999999996</v>
      </c>
      <c r="M61" s="361"/>
      <c r="N61" s="361"/>
      <c r="O61" s="359"/>
      <c r="P61" s="27">
        <v>48</v>
      </c>
      <c r="Q61" s="182">
        <v>5.0999999999999996</v>
      </c>
      <c r="R61" s="361"/>
      <c r="S61" s="361"/>
      <c r="T61" s="359"/>
    </row>
    <row r="62" spans="6:20" s="25" customFormat="1" ht="10.199999999999999" customHeight="1">
      <c r="F62" s="27">
        <v>49</v>
      </c>
      <c r="G62" s="182">
        <v>5</v>
      </c>
      <c r="H62" s="361"/>
      <c r="I62" s="361"/>
      <c r="J62" s="360"/>
      <c r="K62" s="27">
        <v>49</v>
      </c>
      <c r="L62" s="182">
        <v>5</v>
      </c>
      <c r="M62" s="361"/>
      <c r="N62" s="361"/>
      <c r="O62" s="360"/>
      <c r="P62" s="27">
        <v>49</v>
      </c>
      <c r="Q62" s="182">
        <v>5</v>
      </c>
      <c r="R62" s="361"/>
      <c r="S62" s="361"/>
      <c r="T62" s="360"/>
    </row>
    <row r="63" spans="6:20" s="25" customFormat="1" ht="10.199999999999999" customHeight="1" thickBot="1">
      <c r="F63" s="183">
        <v>50</v>
      </c>
      <c r="G63" s="184">
        <v>4.9950000000000001</v>
      </c>
      <c r="H63" s="362"/>
      <c r="I63" s="362"/>
      <c r="J63" s="363"/>
      <c r="K63" s="183">
        <v>50</v>
      </c>
      <c r="L63" s="184">
        <v>4.9950000000000001</v>
      </c>
      <c r="M63" s="362"/>
      <c r="N63" s="362"/>
      <c r="O63" s="363"/>
      <c r="P63" s="183">
        <v>50</v>
      </c>
      <c r="Q63" s="184">
        <v>4.9950000000000001</v>
      </c>
      <c r="R63" s="362"/>
      <c r="S63" s="362"/>
      <c r="T63" s="363"/>
    </row>
    <row r="64" spans="6:20" s="25" customFormat="1" ht="10.199999999999999" customHeight="1">
      <c r="F64" s="28"/>
      <c r="G64" s="29"/>
      <c r="H64" s="29"/>
      <c r="I64" s="29"/>
      <c r="J64" s="29"/>
      <c r="K64" s="28"/>
      <c r="L64" s="29"/>
      <c r="M64" s="29"/>
      <c r="N64" s="29"/>
      <c r="O64" s="29"/>
      <c r="P64" s="28"/>
      <c r="Q64" s="29"/>
      <c r="R64" s="29"/>
      <c r="S64" s="29"/>
      <c r="T64" s="29"/>
    </row>
    <row r="65" spans="6:20" s="25" customFormat="1" ht="11.25" customHeight="1">
      <c r="F65" s="30" t="s">
        <v>77</v>
      </c>
      <c r="G65" s="31">
        <f>COUNTA(G14:G63)</f>
        <v>50</v>
      </c>
      <c r="H65" s="33">
        <f>COUNTA(H14:H63)</f>
        <v>0</v>
      </c>
      <c r="I65" s="33">
        <f>COUNTA(I14:I63)</f>
        <v>0</v>
      </c>
      <c r="J65" s="185">
        <f>COUNTA(J14:J63)</f>
        <v>0</v>
      </c>
      <c r="K65" s="30" t="s">
        <v>77</v>
      </c>
      <c r="L65" s="31">
        <f>COUNTA(L14:L63)</f>
        <v>50</v>
      </c>
      <c r="M65" s="33">
        <f>COUNTA(M14:M63)</f>
        <v>0</v>
      </c>
      <c r="N65" s="33">
        <f>COUNTA(N14:N63)</f>
        <v>0</v>
      </c>
      <c r="O65" s="185">
        <f>COUNTA(O14:O63)</f>
        <v>0</v>
      </c>
      <c r="P65" s="30" t="s">
        <v>77</v>
      </c>
      <c r="Q65" s="31">
        <f>COUNTA(Q14:Q63)</f>
        <v>50</v>
      </c>
      <c r="R65" s="33">
        <f>COUNTA(R14:R63)</f>
        <v>0</v>
      </c>
      <c r="S65" s="33">
        <f>COUNTA(S14:S63)</f>
        <v>0</v>
      </c>
      <c r="T65" s="185">
        <f>COUNTA(T14:T63)</f>
        <v>0</v>
      </c>
    </row>
    <row r="66" spans="6:20" s="25" customFormat="1" ht="11.25" customHeight="1">
      <c r="F66" s="30" t="s">
        <v>74</v>
      </c>
      <c r="G66" s="32">
        <f>MAX(G13:G62)</f>
        <v>5.0999999999999996</v>
      </c>
      <c r="H66" s="33">
        <f>MAX(H13:H62)</f>
        <v>0</v>
      </c>
      <c r="I66" s="33">
        <f>MAX(I13:I62)</f>
        <v>0</v>
      </c>
      <c r="J66" s="185">
        <f>MAX(J13:J62)</f>
        <v>0</v>
      </c>
      <c r="K66" s="30" t="s">
        <v>74</v>
      </c>
      <c r="L66" s="32">
        <f>MAX(L13:L62)</f>
        <v>5.0999999999999996</v>
      </c>
      <c r="M66" s="33">
        <f>MAX(M13:M62)</f>
        <v>0</v>
      </c>
      <c r="N66" s="33">
        <f>MAX(N13:N62)</f>
        <v>0</v>
      </c>
      <c r="O66" s="185">
        <f>MAX(O13:O62)</f>
        <v>0</v>
      </c>
      <c r="P66" s="30" t="s">
        <v>74</v>
      </c>
      <c r="Q66" s="32">
        <f>MAX(Q13:Q62)</f>
        <v>5.0999999999999996</v>
      </c>
      <c r="R66" s="33">
        <f>MAX(R13:R62)</f>
        <v>0</v>
      </c>
      <c r="S66" s="33">
        <f>MAX(S13:S62)</f>
        <v>0</v>
      </c>
      <c r="T66" s="185">
        <f>MAX(T13:T62)</f>
        <v>0</v>
      </c>
    </row>
    <row r="67" spans="6:20" s="25" customFormat="1" ht="11.25" customHeight="1">
      <c r="F67" s="30" t="s">
        <v>73</v>
      </c>
      <c r="G67" s="32">
        <f>MIN(G14:G63)</f>
        <v>4.9000000000000004</v>
      </c>
      <c r="H67" s="33">
        <f>MIN(H14:H63)</f>
        <v>0</v>
      </c>
      <c r="I67" s="33">
        <f>MIN(I14:I63)</f>
        <v>0</v>
      </c>
      <c r="J67" s="185">
        <f>MIN(J14:J63)</f>
        <v>0</v>
      </c>
      <c r="K67" s="30" t="s">
        <v>73</v>
      </c>
      <c r="L67" s="32">
        <f>MIN(L14:L63)</f>
        <v>4.9000000000000004</v>
      </c>
      <c r="M67" s="33">
        <f>MIN(M14:M63)</f>
        <v>0</v>
      </c>
      <c r="N67" s="33">
        <f>MIN(N14:N63)</f>
        <v>0</v>
      </c>
      <c r="O67" s="185">
        <f>MIN(O14:O63)</f>
        <v>0</v>
      </c>
      <c r="P67" s="30" t="s">
        <v>73</v>
      </c>
      <c r="Q67" s="32">
        <f>MIN(Q14:Q63)</f>
        <v>4.9000000000000004</v>
      </c>
      <c r="R67" s="33">
        <f>MIN(R14:R63)</f>
        <v>0</v>
      </c>
      <c r="S67" s="33">
        <f>MIN(S14:S63)</f>
        <v>0</v>
      </c>
      <c r="T67" s="185">
        <f>MIN(T14:T63)</f>
        <v>0</v>
      </c>
    </row>
    <row r="68" spans="6:20" s="25" customFormat="1" ht="11.25" customHeight="1">
      <c r="F68" s="30" t="s">
        <v>75</v>
      </c>
      <c r="G68" s="33">
        <f>IF(COUNTA(G14:G63)&gt;1,AVERAGE(G14:G63),"")</f>
        <v>4.980900000000001</v>
      </c>
      <c r="H68" s="33" t="str">
        <f>IF(COUNTA(H14:H63)&gt;1,AVERAGE(H14:H63),"")</f>
        <v/>
      </c>
      <c r="I68" s="33" t="str">
        <f>IF(COUNTA(I14:I63)&gt;1,AVERAGE(I14:I63),"")</f>
        <v/>
      </c>
      <c r="J68" s="185" t="str">
        <f>IF(COUNTA(J14:J63)&gt;1,AVERAGE(J14:J63),"")</f>
        <v/>
      </c>
      <c r="K68" s="30" t="s">
        <v>75</v>
      </c>
      <c r="L68" s="33">
        <f>IF(COUNTA(L14:L63)&gt;1,AVERAGE(L14:L63),"")</f>
        <v>4.980900000000001</v>
      </c>
      <c r="M68" s="33" t="str">
        <f>IF(COUNTA(M14:M63)&gt;1,AVERAGE(M14:M63),"")</f>
        <v/>
      </c>
      <c r="N68" s="33" t="str">
        <f>IF(COUNTA(N14:N63)&gt;1,AVERAGE(N14:N63),"")</f>
        <v/>
      </c>
      <c r="O68" s="185" t="str">
        <f>IF(COUNTA(O14:O63)&gt;1,AVERAGE(O14:O63),"")</f>
        <v/>
      </c>
      <c r="P68" s="30" t="s">
        <v>75</v>
      </c>
      <c r="Q68" s="33">
        <f>IF(COUNTA(Q14:Q63)&gt;1,AVERAGE(Q14:Q63),"")</f>
        <v>4.980900000000001</v>
      </c>
      <c r="R68" s="33" t="str">
        <f>IF(COUNTA(R14:R63)&gt;1,AVERAGE(R14:R63),"")</f>
        <v/>
      </c>
      <c r="S68" s="33" t="str">
        <f>IF(COUNTA(S14:S63)&gt;1,AVERAGE(S14:S63),"")</f>
        <v/>
      </c>
      <c r="T68" s="185" t="str">
        <f>IF(COUNTA(T14:T63)&gt;1,AVERAGE(T14:T63),"")</f>
        <v/>
      </c>
    </row>
    <row r="69" spans="6:20" s="25" customFormat="1" ht="11.25" customHeight="1">
      <c r="F69" s="30" t="s">
        <v>76</v>
      </c>
      <c r="G69" s="33">
        <f>IF(COUNTA(G14:G63)&gt;1,STDEV(G14:G63),"")</f>
        <v>9.4143236504763195E-2</v>
      </c>
      <c r="H69" s="33" t="str">
        <f>IF(COUNTA(H14:H63)&gt;1,STDEV(H14:H63),"")</f>
        <v/>
      </c>
      <c r="I69" s="33" t="str">
        <f>IF(COUNTA(I14:I63)&gt;1,STDEV(I14:I63),"")</f>
        <v/>
      </c>
      <c r="J69" s="185" t="str">
        <f>IF(COUNTA(J14:J63)&gt;1,STDEV(J14:J63),"")</f>
        <v/>
      </c>
      <c r="K69" s="30" t="s">
        <v>76</v>
      </c>
      <c r="L69" s="33">
        <f>IF(COUNTA(L14:L63)&gt;1,STDEV(L14:L63),"")</f>
        <v>9.4143236504763195E-2</v>
      </c>
      <c r="M69" s="33" t="str">
        <f>IF(COUNTA(M14:M63)&gt;1,STDEV(M14:M63),"")</f>
        <v/>
      </c>
      <c r="N69" s="33" t="str">
        <f>IF(COUNTA(N14:N63)&gt;1,STDEV(N14:N63),"")</f>
        <v/>
      </c>
      <c r="O69" s="185" t="str">
        <f>IF(COUNTA(O14:O63)&gt;1,STDEV(O14:O63),"")</f>
        <v/>
      </c>
      <c r="P69" s="30" t="s">
        <v>76</v>
      </c>
      <c r="Q69" s="33">
        <f>IF(COUNTA(Q14:Q63)&gt;1,STDEV(Q14:Q63),"")</f>
        <v>9.4143236504763195E-2</v>
      </c>
      <c r="R69" s="33" t="str">
        <f>IF(COUNTA(R14:R63)&gt;1,STDEV(R14:R63),"")</f>
        <v/>
      </c>
      <c r="S69" s="33" t="str">
        <f>IF(COUNTA(S14:S63)&gt;1,STDEV(S14:S63),"")</f>
        <v/>
      </c>
      <c r="T69" s="185" t="str">
        <f>IF(COUNTA(T14:T63)&gt;1,STDEV(T14:T63),"")</f>
        <v/>
      </c>
    </row>
    <row r="70" spans="6:20" s="25" customFormat="1" ht="11.25" customHeight="1">
      <c r="F70" s="30" t="s">
        <v>24</v>
      </c>
      <c r="G70" s="33">
        <f>IF(COUNTA(G14:G63)&gt;1,($H10-G68)/(3*G69),"")</f>
        <v>1.8379794423636406</v>
      </c>
      <c r="H70" s="33" t="str">
        <f>IF(COUNTA(H14:H63)&gt;1,($H10-H68)/(3*H69),"")</f>
        <v/>
      </c>
      <c r="I70" s="33" t="str">
        <f>IF(COUNTA(I14:I63)&gt;1,($H10-I68)/(3*I69),"")</f>
        <v/>
      </c>
      <c r="J70" s="185" t="str">
        <f>IF(COUNTA(J14:J63)&gt;1,($H10-J68)/(3*J69),"")</f>
        <v/>
      </c>
      <c r="K70" s="30" t="s">
        <v>24</v>
      </c>
      <c r="L70" s="33">
        <f>IF(COUNTA(L14:L63)&gt;1,($H10-L68)/(3*L69),"")</f>
        <v>1.8379794423636406</v>
      </c>
      <c r="M70" s="33" t="str">
        <f>IF(COUNTA(M14:M63)&gt;1,($H10-M68)/(3*M69),"")</f>
        <v/>
      </c>
      <c r="N70" s="33" t="str">
        <f>IF(COUNTA(N14:N63)&gt;1,($H10-N68)/(3*N69),"")</f>
        <v/>
      </c>
      <c r="O70" s="185" t="str">
        <f>IF(COUNTA(O14:O63)&gt;1,($H10-O68)/(3*O69),"")</f>
        <v/>
      </c>
      <c r="P70" s="30" t="s">
        <v>24</v>
      </c>
      <c r="Q70" s="33">
        <f>IF(COUNTA(Q14:Q63)&gt;1,($H10-Q68)/(3*Q69),"")</f>
        <v>1.8379794423636406</v>
      </c>
      <c r="R70" s="33" t="str">
        <f>IF(COUNTA(R14:R63)&gt;1,($H10-R68)/(3*R69),"")</f>
        <v/>
      </c>
      <c r="S70" s="33" t="str">
        <f>IF(COUNTA(S14:S63)&gt;1,($H10-S68)/(3*S69),"")</f>
        <v/>
      </c>
      <c r="T70" s="185" t="str">
        <f>IF(COUNTA(T14:T63)&gt;1,($H10-T68)/(3*T69),"")</f>
        <v/>
      </c>
    </row>
    <row r="71" spans="6:20" s="25" customFormat="1" ht="11.25" customHeight="1" thickBot="1">
      <c r="F71" s="186" t="s">
        <v>25</v>
      </c>
      <c r="G71" s="187">
        <f>IF(COUNTA(G14:G63)&gt;1,+(G68-$H11)/(3*G69),"")</f>
        <v>1.7027245498606787</v>
      </c>
      <c r="H71" s="187" t="str">
        <f>IF(COUNTA(H14:H63)&gt;1,+(H68-$H11)/(3*H69),"")</f>
        <v/>
      </c>
      <c r="I71" s="187" t="str">
        <f>IF(COUNTA(I14:I63)&gt;1,+(I68-$H11)/(3*I69),"")</f>
        <v/>
      </c>
      <c r="J71" s="188" t="str">
        <f>IF(COUNTA(J14:J63)&gt;1,+(J68-$H11)/(3*J69),"")</f>
        <v/>
      </c>
      <c r="K71" s="186" t="s">
        <v>25</v>
      </c>
      <c r="L71" s="187">
        <f>IF(COUNTA(L14:L63)&gt;1,+(L68-$H11)/(3*L69),"")</f>
        <v>1.7027245498606787</v>
      </c>
      <c r="M71" s="187" t="str">
        <f>IF(COUNTA(M14:M63)&gt;1,+(M68-$H11)/(3*M69),"")</f>
        <v/>
      </c>
      <c r="N71" s="187" t="str">
        <f>IF(COUNTA(N14:N63)&gt;1,+(N68-$H11)/(3*N69),"")</f>
        <v/>
      </c>
      <c r="O71" s="188" t="str">
        <f>IF(COUNTA(O14:O63)&gt;1,+(O68-$H11)/(3*O69),"")</f>
        <v/>
      </c>
      <c r="P71" s="186" t="s">
        <v>25</v>
      </c>
      <c r="Q71" s="187">
        <f>IF(COUNTA(Q14:Q63)&gt;1,+(Q68-$H11)/(3*Q69),"")</f>
        <v>1.7027245498606787</v>
      </c>
      <c r="R71" s="187" t="str">
        <f>IF(COUNTA(R14:R63)&gt;1,+(R68-$H11)/(3*R69),"")</f>
        <v/>
      </c>
      <c r="S71" s="187" t="str">
        <f>IF(COUNTA(S14:S63)&gt;1,+(S68-$H11)/(3*S69),"")</f>
        <v/>
      </c>
      <c r="T71" s="188" t="str">
        <f>IF(COUNTA(T14:T63)&gt;1,+(T68-$H11)/(3*T69),"")</f>
        <v/>
      </c>
    </row>
    <row r="72" spans="6:20" s="25" customFormat="1" ht="16.5" customHeight="1" thickTop="1">
      <c r="F72" s="189" t="str">
        <f>IF(CapabilityTypeSelection=2,"Process Capability Cpk","Machine Capability Cmk")</f>
        <v>Machine Capability Cmk</v>
      </c>
      <c r="G72" s="199">
        <f>IF(COUNTA(G14:G63)&gt;1,MIN(G70:G71),"")</f>
        <v>1.7027245498606787</v>
      </c>
      <c r="H72" s="199" t="str">
        <f>IF(COUNTA(H14:H63)&gt;1,MIN(H70:H71),"")</f>
        <v/>
      </c>
      <c r="I72" s="199" t="str">
        <f>IF(COUNTA(I14:I63)&gt;1,MIN(I70:I71),"")</f>
        <v/>
      </c>
      <c r="J72" s="200" t="str">
        <f>IF(COUNTA(J14:J63)&gt;1,MIN(J70:J71),"")</f>
        <v/>
      </c>
      <c r="K72" s="189" t="str">
        <f>IF(CapabilityTypeSelection=2,"Process Capability Cpk","Machine Capability Cmk")</f>
        <v>Machine Capability Cmk</v>
      </c>
      <c r="L72" s="199">
        <f>IF(COUNTA(L14:L63)&gt;1,MIN(L70:L71),"")</f>
        <v>1.7027245498606787</v>
      </c>
      <c r="M72" s="199" t="str">
        <f>IF(COUNTA(M14:M63)&gt;1,MIN(M70:M71),"")</f>
        <v/>
      </c>
      <c r="N72" s="199" t="str">
        <f>IF(COUNTA(N14:N63)&gt;1,MIN(N70:N71),"")</f>
        <v/>
      </c>
      <c r="O72" s="200" t="str">
        <f>IF(COUNTA(O14:O63)&gt;1,MIN(O70:O71),"")</f>
        <v/>
      </c>
      <c r="P72" s="189" t="str">
        <f>IF(CapabilityTypeSelection=2,"Process Capability Cpk","Machine Capability Cmk")</f>
        <v>Machine Capability Cmk</v>
      </c>
      <c r="Q72" s="199">
        <f>IF(COUNTA(Q14:Q63)&gt;1,MIN(Q70:Q71),"")</f>
        <v>1.7027245498606787</v>
      </c>
      <c r="R72" s="199" t="str">
        <f>IF(COUNTA(R14:R63)&gt;1,MIN(R70:R71),"")</f>
        <v/>
      </c>
      <c r="S72" s="199" t="str">
        <f>IF(COUNTA(S14:S63)&gt;1,MIN(S70:S71),"")</f>
        <v/>
      </c>
      <c r="T72" s="200" t="str">
        <f>IF(COUNTA(T14:T63)&gt;1,MIN(T70:T71),"")</f>
        <v/>
      </c>
    </row>
    <row r="73" spans="6:20" ht="16.5" customHeight="1" thickBot="1">
      <c r="F73" s="190" t="str">
        <f>IF(CapabilityTypeSelection=2,"Criterion Cpk &gt; 1,33","Criterion Cmk &gt; 1,67")</f>
        <v>Criterion Cmk &gt; 1,67</v>
      </c>
      <c r="G73" s="191" t="str">
        <f>IF(COUNTA(G14:G63)&gt;1,IF(G72&gt;Capability.Criterion,"fulfilled","not fulfilled"),"")</f>
        <v>fulfilled</v>
      </c>
      <c r="H73" s="191" t="str">
        <f>IF(COUNTA(H14:H63)&gt;1,IF(H72&gt;Capability.Criterion,"fulfilled","not fulfilled"),"")</f>
        <v/>
      </c>
      <c r="I73" s="191" t="str">
        <f>IF(COUNTA(I14:I63)&gt;1,IF(I72&gt;Capability.Criterion,"fulfilled","not fulfilled"),"")</f>
        <v/>
      </c>
      <c r="J73" s="192" t="str">
        <f>IF(COUNTA(J14:J63)&gt;1,IF(J72&gt;Capability.Criterion,"fulfilled","not fulfilled"),"")</f>
        <v/>
      </c>
      <c r="K73" s="190" t="str">
        <f>IF(CapabilityTypeSelection=2,"Criterion Cpk &gt; 1,33","Criterion Cmk &gt; 1,67")</f>
        <v>Criterion Cmk &gt; 1,67</v>
      </c>
      <c r="L73" s="191" t="str">
        <f>IF(COUNTA(L14:L63)&gt;1,IF(L72&gt;Capability.Criterion,"fulfilled","not fulfilled"),"")</f>
        <v>fulfilled</v>
      </c>
      <c r="M73" s="191" t="str">
        <f>IF(COUNTA(M14:M63)&gt;1,IF(M72&gt;Capability.Criterion,"fulfilled","not fulfilled"),"")</f>
        <v/>
      </c>
      <c r="N73" s="191" t="str">
        <f>IF(COUNTA(N14:N63)&gt;1,IF(N72&gt;Capability.Criterion,"fulfilled","not fulfilled"),"")</f>
        <v/>
      </c>
      <c r="O73" s="192" t="str">
        <f>IF(COUNTA(O14:O63)&gt;1,IF(O72&gt;Capability.Criterion,"fulfilled","not fulfilled"),"")</f>
        <v/>
      </c>
      <c r="P73" s="190" t="str">
        <f>IF(CapabilityTypeSelection=2,"Criterion Cpk &gt; 1,33","Criterion Cmk &gt; 1,67")</f>
        <v>Criterion Cmk &gt; 1,67</v>
      </c>
      <c r="Q73" s="191" t="str">
        <f>IF(COUNTA(Q14:Q63)&gt;1,IF(Q72&gt;Capability.Criterion,"fulfilled","not fulfilled"),"")</f>
        <v>fulfilled</v>
      </c>
      <c r="R73" s="191" t="str">
        <f>IF(COUNTA(R14:R63)&gt;1,IF(R72&gt;Capability.Criterion,"fulfilled","not fulfilled"),"")</f>
        <v/>
      </c>
      <c r="S73" s="191" t="str">
        <f>IF(COUNTA(S14:S63)&gt;1,IF(S72&gt;Capability.Criterion,"fulfilled","not fulfilled"),"")</f>
        <v/>
      </c>
      <c r="T73" s="192" t="str">
        <f>IF(COUNTA(T14:T63)&gt;1,IF(T72&gt;Capability.Criterion,"fulfilled","not fulfilled"),"")</f>
        <v/>
      </c>
    </row>
  </sheetData>
  <mergeCells count="6">
    <mergeCell ref="H3:I3"/>
    <mergeCell ref="F1:J1"/>
    <mergeCell ref="K1:O1"/>
    <mergeCell ref="M3:N3"/>
    <mergeCell ref="P1:T1"/>
    <mergeCell ref="R3:S3"/>
  </mergeCells>
  <phoneticPr fontId="0" type="noConversion"/>
  <conditionalFormatting sqref="G73:J73">
    <cfRule type="expression" dxfId="37" priority="34" stopIfTrue="1">
      <formula>LEFT(G73,1)="n"</formula>
    </cfRule>
  </conditionalFormatting>
  <conditionalFormatting sqref="L73:O73">
    <cfRule type="expression" dxfId="36" priority="3" stopIfTrue="1">
      <formula>LEFT(L73,1)="n"</formula>
    </cfRule>
  </conditionalFormatting>
  <conditionalFormatting sqref="Q73:T73">
    <cfRule type="expression" dxfId="35" priority="1" stopIfTrue="1">
      <formula>LEFT(Q73,1)="n"</formula>
    </cfRule>
  </conditionalFormatting>
  <dataValidations count="1">
    <dataValidation type="list" allowBlank="1" showInputMessage="1" showErrorMessage="1" sqref="G2 L2 Q2" xr:uid="{58F18100-1B8D-4A5F-845E-479264BBCEAE}">
      <formula1>CapabilityType</formula1>
    </dataValidation>
  </dataValidations>
  <printOptions horizontalCentered="1" verticalCentered="1"/>
  <pageMargins left="0.27559055118110198" right="0.196850393700787" top="0.98425196850393704" bottom="0.98425196850393704" header="0.511811023622047" footer="0.511811023622047"/>
  <pageSetup paperSize="9" scale="80" orientation="portrait" r:id="rId1"/>
  <headerFooter alignWithMargins="0">
    <oddHeader>&amp;LDimensional Report&amp;RPE-AUT-AV-00011-001 Rev. D13</oddHeader>
    <oddFooter>&amp;L&amp;A&amp;RPage &amp;P of &amp;N, printed: &amp;D
&amp;F</oddFooter>
  </headerFooter>
  <rowBreaks count="1" manualBreakCount="1">
    <brk id="73" min="5" max="14" man="1"/>
  </rowBreaks>
  <colBreaks count="2" manualBreakCount="2">
    <brk id="10" max="72" man="1"/>
    <brk id="15" max="72" man="1"/>
  </colBreak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pageSetUpPr fitToPage="1"/>
  </sheetPr>
  <dimension ref="A1:J219"/>
  <sheetViews>
    <sheetView zoomScale="85" zoomScaleNormal="85" workbookViewId="0">
      <pane xSplit="1" ySplit="1" topLeftCell="B183" activePane="bottomRight" state="frozen"/>
      <selection activeCell="B6" sqref="B6"/>
      <selection pane="topRight" activeCell="B6" sqref="B6"/>
      <selection pane="bottomLeft" activeCell="B6" sqref="B6"/>
      <selection pane="bottomRight" activeCell="I225" sqref="I225"/>
    </sheetView>
  </sheetViews>
  <sheetFormatPr defaultColWidth="11" defaultRowHeight="13.2"/>
  <cols>
    <col min="1" max="1" width="24.88671875" style="112" bestFit="1" customWidth="1"/>
    <col min="2" max="2" width="42.109375" style="117" customWidth="1"/>
    <col min="3" max="3" width="50" style="117" customWidth="1"/>
    <col min="4" max="4" width="32.6640625" style="117" customWidth="1"/>
    <col min="5" max="5" width="28.5546875" style="117" customWidth="1"/>
    <col min="6" max="6" width="42.6640625" customWidth="1"/>
    <col min="7" max="7" width="40.44140625" customWidth="1"/>
    <col min="8" max="8" width="42.6640625" customWidth="1"/>
  </cols>
  <sheetData>
    <row r="1" spans="1:9" s="110" customFormat="1">
      <c r="A1" s="111" t="s">
        <v>79</v>
      </c>
      <c r="B1" s="116" t="s">
        <v>115</v>
      </c>
      <c r="C1" s="116" t="s">
        <v>1270</v>
      </c>
      <c r="D1" s="116" t="s">
        <v>116</v>
      </c>
      <c r="E1" s="116" t="s">
        <v>1142</v>
      </c>
      <c r="F1" s="163" t="s">
        <v>1006</v>
      </c>
      <c r="G1" s="116" t="s">
        <v>775</v>
      </c>
      <c r="H1" s="163" t="s">
        <v>765</v>
      </c>
      <c r="I1" s="110" t="s">
        <v>921</v>
      </c>
    </row>
    <row r="2" spans="1:9">
      <c r="A2" s="139" t="s">
        <v>231</v>
      </c>
      <c r="B2" s="140"/>
      <c r="C2" s="140"/>
      <c r="D2" s="140"/>
      <c r="E2" s="140"/>
      <c r="F2" s="164"/>
      <c r="G2" s="164"/>
      <c r="H2" s="164"/>
      <c r="I2">
        <v>1</v>
      </c>
    </row>
    <row r="3" spans="1:9" ht="26.4">
      <c r="A3" s="112" t="s">
        <v>82</v>
      </c>
      <c r="B3" s="117" t="s">
        <v>81</v>
      </c>
      <c r="C3" s="117" t="s">
        <v>1271</v>
      </c>
      <c r="D3" s="117" t="s">
        <v>80</v>
      </c>
      <c r="E3" s="94" t="s">
        <v>1143</v>
      </c>
      <c r="F3" s="165" t="s">
        <v>509</v>
      </c>
      <c r="G3" s="117" t="s">
        <v>776</v>
      </c>
      <c r="H3" s="165" t="s">
        <v>421</v>
      </c>
      <c r="I3">
        <v>2</v>
      </c>
    </row>
    <row r="4" spans="1:9" ht="26.4">
      <c r="A4" s="112" t="s">
        <v>84</v>
      </c>
      <c r="B4" s="117" t="s">
        <v>146</v>
      </c>
      <c r="C4" s="117" t="s">
        <v>1272</v>
      </c>
      <c r="D4" s="117" t="s">
        <v>83</v>
      </c>
      <c r="E4" s="94" t="s">
        <v>1144</v>
      </c>
      <c r="F4" s="165" t="s">
        <v>510</v>
      </c>
      <c r="G4" s="117" t="s">
        <v>777</v>
      </c>
      <c r="H4" s="165" t="s">
        <v>414</v>
      </c>
      <c r="I4">
        <v>3</v>
      </c>
    </row>
    <row r="5" spans="1:9" ht="26.4">
      <c r="A5" s="112" t="s">
        <v>117</v>
      </c>
      <c r="B5" s="117" t="s">
        <v>118</v>
      </c>
      <c r="C5" s="117" t="s">
        <v>1273</v>
      </c>
      <c r="D5" s="117" t="s">
        <v>119</v>
      </c>
      <c r="E5" s="94" t="s">
        <v>1145</v>
      </c>
      <c r="F5" s="165" t="s">
        <v>511</v>
      </c>
      <c r="G5" s="117" t="s">
        <v>778</v>
      </c>
      <c r="H5" s="165" t="s">
        <v>415</v>
      </c>
      <c r="I5">
        <v>4</v>
      </c>
    </row>
    <row r="6" spans="1:9" ht="39.6">
      <c r="A6" s="112" t="s">
        <v>185</v>
      </c>
      <c r="B6" s="117" t="s">
        <v>228</v>
      </c>
      <c r="C6" s="117" t="s">
        <v>1275</v>
      </c>
      <c r="D6" s="117" t="s">
        <v>229</v>
      </c>
      <c r="E6" s="94" t="s">
        <v>1146</v>
      </c>
      <c r="F6" s="165" t="s">
        <v>512</v>
      </c>
      <c r="G6" s="117" t="s">
        <v>780</v>
      </c>
      <c r="H6" s="165" t="s">
        <v>416</v>
      </c>
      <c r="I6">
        <v>5</v>
      </c>
    </row>
    <row r="7" spans="1:9" ht="26.4">
      <c r="A7" s="112" t="s">
        <v>183</v>
      </c>
      <c r="B7" s="117" t="s">
        <v>230</v>
      </c>
      <c r="C7" s="117" t="s">
        <v>1276</v>
      </c>
      <c r="D7" s="117" t="s">
        <v>184</v>
      </c>
      <c r="E7" s="94" t="s">
        <v>1147</v>
      </c>
      <c r="F7" s="165" t="s">
        <v>513</v>
      </c>
      <c r="G7" s="117" t="s">
        <v>779</v>
      </c>
      <c r="H7" s="165" t="s">
        <v>422</v>
      </c>
      <c r="I7">
        <v>6</v>
      </c>
    </row>
    <row r="8" spans="1:9" ht="66">
      <c r="A8" s="112" t="s">
        <v>312</v>
      </c>
      <c r="B8" s="117" t="s">
        <v>325</v>
      </c>
      <c r="C8" s="117" t="s">
        <v>1277</v>
      </c>
      <c r="D8" s="117" t="s">
        <v>324</v>
      </c>
      <c r="E8" s="94" t="s">
        <v>1148</v>
      </c>
      <c r="F8" s="165" t="s">
        <v>528</v>
      </c>
      <c r="G8" s="117" t="s">
        <v>783</v>
      </c>
      <c r="H8" s="165" t="s">
        <v>423</v>
      </c>
      <c r="I8">
        <v>7</v>
      </c>
    </row>
    <row r="9" spans="1:9" ht="66">
      <c r="A9" s="112" t="s">
        <v>411</v>
      </c>
      <c r="B9" s="117" t="s">
        <v>503</v>
      </c>
      <c r="C9" s="117" t="s">
        <v>1278</v>
      </c>
      <c r="D9" s="117" t="s">
        <v>412</v>
      </c>
      <c r="E9" s="94" t="s">
        <v>1149</v>
      </c>
      <c r="F9" s="117" t="s">
        <v>560</v>
      </c>
      <c r="G9" s="117" t="s">
        <v>782</v>
      </c>
      <c r="H9" s="117" t="s">
        <v>1141</v>
      </c>
      <c r="I9">
        <v>8</v>
      </c>
    </row>
    <row r="10" spans="1:9" ht="26.4">
      <c r="A10" s="112" t="s">
        <v>1011</v>
      </c>
      <c r="B10" s="117" t="s">
        <v>1136</v>
      </c>
      <c r="C10" s="117" t="s">
        <v>1279</v>
      </c>
      <c r="D10" s="117" t="s">
        <v>1137</v>
      </c>
      <c r="E10" s="94" t="s">
        <v>1150</v>
      </c>
      <c r="F10" s="117" t="s">
        <v>1262</v>
      </c>
      <c r="G10" s="117" t="s">
        <v>1352</v>
      </c>
      <c r="H10" s="117" t="s">
        <v>1258</v>
      </c>
      <c r="I10">
        <v>9</v>
      </c>
    </row>
    <row r="11" spans="1:9" ht="66">
      <c r="A11" s="112" t="s">
        <v>1012</v>
      </c>
      <c r="B11" s="117" t="s">
        <v>1126</v>
      </c>
      <c r="C11" s="117" t="s">
        <v>1280</v>
      </c>
      <c r="D11" s="117" t="s">
        <v>1135</v>
      </c>
      <c r="E11" s="94" t="s">
        <v>1151</v>
      </c>
      <c r="F11" s="117" t="s">
        <v>1263</v>
      </c>
      <c r="G11" s="117" t="s">
        <v>1353</v>
      </c>
      <c r="H11" s="117" t="s">
        <v>1259</v>
      </c>
      <c r="I11">
        <v>10</v>
      </c>
    </row>
    <row r="12" spans="1:9" ht="118.8">
      <c r="A12" s="112" t="s">
        <v>1014</v>
      </c>
      <c r="B12" s="117" t="s">
        <v>1465</v>
      </c>
      <c r="C12" s="117" t="s">
        <v>1281</v>
      </c>
      <c r="D12" s="117" t="s">
        <v>1466</v>
      </c>
      <c r="E12" s="94" t="s">
        <v>1152</v>
      </c>
      <c r="F12" s="117" t="s">
        <v>1269</v>
      </c>
      <c r="G12" s="117" t="s">
        <v>1360</v>
      </c>
      <c r="H12" s="117" t="s">
        <v>1260</v>
      </c>
      <c r="I12">
        <v>11</v>
      </c>
    </row>
    <row r="13" spans="1:9">
      <c r="A13" s="139" t="s">
        <v>232</v>
      </c>
      <c r="B13" s="140"/>
      <c r="C13" s="140"/>
      <c r="D13" s="140"/>
      <c r="E13" s="140"/>
      <c r="F13" s="164"/>
      <c r="G13" s="164"/>
      <c r="H13" s="164"/>
      <c r="I13">
        <v>12</v>
      </c>
    </row>
    <row r="14" spans="1:9">
      <c r="A14" s="112" t="s">
        <v>153</v>
      </c>
      <c r="B14" s="117" t="s">
        <v>101</v>
      </c>
      <c r="C14" s="117" t="s">
        <v>1282</v>
      </c>
      <c r="D14" s="117" t="s">
        <v>154</v>
      </c>
      <c r="E14" s="94" t="s">
        <v>1153</v>
      </c>
      <c r="F14" s="165" t="s">
        <v>561</v>
      </c>
      <c r="G14" s="117" t="s">
        <v>781</v>
      </c>
      <c r="H14" s="165" t="s">
        <v>413</v>
      </c>
      <c r="I14">
        <v>13</v>
      </c>
    </row>
    <row r="15" spans="1:9">
      <c r="A15" s="112" t="s">
        <v>148</v>
      </c>
      <c r="B15" s="117" t="s">
        <v>402</v>
      </c>
      <c r="C15" s="117" t="s">
        <v>1283</v>
      </c>
      <c r="D15" s="117" t="s">
        <v>403</v>
      </c>
      <c r="E15" t="s">
        <v>1154</v>
      </c>
      <c r="F15" s="165" t="s">
        <v>562</v>
      </c>
      <c r="G15" s="117" t="s">
        <v>985</v>
      </c>
      <c r="H15" s="165" t="s">
        <v>417</v>
      </c>
      <c r="I15">
        <v>14</v>
      </c>
    </row>
    <row r="16" spans="1:9" ht="26.4">
      <c r="A16" s="112" t="s">
        <v>86</v>
      </c>
      <c r="B16" s="117" t="s">
        <v>85</v>
      </c>
      <c r="C16" s="117" t="s">
        <v>1284</v>
      </c>
      <c r="D16" s="117" t="s">
        <v>400</v>
      </c>
      <c r="E16" s="94" t="s">
        <v>1155</v>
      </c>
      <c r="F16" s="165" t="s">
        <v>563</v>
      </c>
      <c r="G16" s="117" t="s">
        <v>784</v>
      </c>
      <c r="H16" s="165" t="s">
        <v>424</v>
      </c>
      <c r="I16">
        <v>15</v>
      </c>
    </row>
    <row r="17" spans="1:9" ht="26.4">
      <c r="A17" s="112" t="s">
        <v>87</v>
      </c>
      <c r="B17" s="117" t="s">
        <v>145</v>
      </c>
      <c r="C17" s="117" t="s">
        <v>1285</v>
      </c>
      <c r="D17" s="117" t="s">
        <v>401</v>
      </c>
      <c r="E17" s="94" t="s">
        <v>1156</v>
      </c>
      <c r="F17" s="165" t="s">
        <v>564</v>
      </c>
      <c r="G17" s="117" t="s">
        <v>785</v>
      </c>
      <c r="H17" s="165" t="s">
        <v>425</v>
      </c>
      <c r="I17">
        <v>16</v>
      </c>
    </row>
    <row r="18" spans="1:9">
      <c r="A18" s="112" t="s">
        <v>149</v>
      </c>
      <c r="B18" s="117" t="s">
        <v>147</v>
      </c>
      <c r="C18" s="117" t="s">
        <v>1286</v>
      </c>
      <c r="D18" s="117" t="s">
        <v>151</v>
      </c>
      <c r="E18" s="94" t="s">
        <v>1157</v>
      </c>
      <c r="F18" s="165" t="s">
        <v>565</v>
      </c>
      <c r="G18" s="117" t="s">
        <v>984</v>
      </c>
      <c r="H18" s="165" t="s">
        <v>426</v>
      </c>
      <c r="I18">
        <v>17</v>
      </c>
    </row>
    <row r="19" spans="1:9">
      <c r="A19" s="112" t="s">
        <v>150</v>
      </c>
      <c r="B19" s="117" t="s">
        <v>40</v>
      </c>
      <c r="C19" s="117" t="s">
        <v>1287</v>
      </c>
      <c r="D19" s="117" t="s">
        <v>152</v>
      </c>
      <c r="E19" s="94" t="s">
        <v>1158</v>
      </c>
      <c r="F19" s="165" t="s">
        <v>566</v>
      </c>
      <c r="G19" s="117" t="s">
        <v>983</v>
      </c>
      <c r="H19" s="165" t="s">
        <v>427</v>
      </c>
      <c r="I19">
        <v>18</v>
      </c>
    </row>
    <row r="20" spans="1:9">
      <c r="A20" s="139" t="s">
        <v>211</v>
      </c>
      <c r="B20" s="140"/>
      <c r="C20" s="140"/>
      <c r="D20" s="140"/>
      <c r="E20" s="140"/>
      <c r="F20" s="164"/>
      <c r="G20" s="164"/>
      <c r="H20" s="164"/>
      <c r="I20">
        <v>19</v>
      </c>
    </row>
    <row r="21" spans="1:9">
      <c r="A21" s="112" t="s">
        <v>112</v>
      </c>
      <c r="B21" s="117" t="s">
        <v>113</v>
      </c>
      <c r="C21" s="117" t="s">
        <v>1288</v>
      </c>
      <c r="D21" s="117" t="s">
        <v>114</v>
      </c>
      <c r="E21" s="94" t="s">
        <v>1159</v>
      </c>
      <c r="F21" s="165" t="s">
        <v>567</v>
      </c>
      <c r="G21" s="117" t="s">
        <v>788</v>
      </c>
      <c r="H21" s="165" t="s">
        <v>428</v>
      </c>
      <c r="I21">
        <v>20</v>
      </c>
    </row>
    <row r="22" spans="1:9">
      <c r="A22" s="112" t="s">
        <v>90</v>
      </c>
      <c r="B22" s="117" t="s">
        <v>310</v>
      </c>
      <c r="C22" s="117" t="s">
        <v>1289</v>
      </c>
      <c r="D22" s="117" t="s">
        <v>309</v>
      </c>
      <c r="E22" s="94" t="s">
        <v>1160</v>
      </c>
      <c r="F22" s="165" t="s">
        <v>568</v>
      </c>
      <c r="G22" s="117" t="s">
        <v>793</v>
      </c>
      <c r="H22" s="165" t="s">
        <v>429</v>
      </c>
      <c r="I22">
        <v>21</v>
      </c>
    </row>
    <row r="23" spans="1:9">
      <c r="A23" s="112" t="s">
        <v>91</v>
      </c>
      <c r="B23" s="117" t="s">
        <v>311</v>
      </c>
      <c r="C23" s="117" t="s">
        <v>1290</v>
      </c>
      <c r="D23" s="117" t="s">
        <v>92</v>
      </c>
      <c r="E23" s="94" t="s">
        <v>1161</v>
      </c>
      <c r="F23" s="165" t="s">
        <v>569</v>
      </c>
      <c r="G23" s="117" t="s">
        <v>786</v>
      </c>
      <c r="H23" s="165" t="s">
        <v>430</v>
      </c>
      <c r="I23">
        <v>22</v>
      </c>
    </row>
    <row r="24" spans="1:9">
      <c r="A24" s="112" t="s">
        <v>93</v>
      </c>
      <c r="B24" s="117" t="s">
        <v>97</v>
      </c>
      <c r="C24" s="117" t="s">
        <v>1291</v>
      </c>
      <c r="D24" s="117" t="s">
        <v>94</v>
      </c>
      <c r="E24" s="94" t="s">
        <v>1162</v>
      </c>
      <c r="F24" s="165" t="s">
        <v>570</v>
      </c>
      <c r="G24" s="117" t="s">
        <v>787</v>
      </c>
      <c r="H24" s="165" t="s">
        <v>431</v>
      </c>
      <c r="I24">
        <v>23</v>
      </c>
    </row>
    <row r="25" spans="1:9">
      <c r="A25" s="112" t="s">
        <v>110</v>
      </c>
      <c r="B25" s="117" t="s">
        <v>98</v>
      </c>
      <c r="C25" s="117" t="s">
        <v>1292</v>
      </c>
      <c r="D25" s="117" t="s">
        <v>35</v>
      </c>
      <c r="E25" t="s">
        <v>1163</v>
      </c>
      <c r="F25" s="165" t="s">
        <v>571</v>
      </c>
      <c r="G25" s="117" t="s">
        <v>774</v>
      </c>
      <c r="H25" s="165" t="s">
        <v>432</v>
      </c>
      <c r="I25">
        <v>24</v>
      </c>
    </row>
    <row r="26" spans="1:9">
      <c r="A26" s="112" t="s">
        <v>99</v>
      </c>
      <c r="B26" s="117" t="s">
        <v>101</v>
      </c>
      <c r="C26" s="117" t="s">
        <v>1282</v>
      </c>
      <c r="D26" s="117" t="s">
        <v>103</v>
      </c>
      <c r="E26" s="94" t="s">
        <v>1153</v>
      </c>
      <c r="F26" s="165" t="s">
        <v>561</v>
      </c>
      <c r="G26" s="117" t="s">
        <v>781</v>
      </c>
      <c r="H26" s="165" t="s">
        <v>433</v>
      </c>
      <c r="I26">
        <v>25</v>
      </c>
    </row>
    <row r="27" spans="1:9">
      <c r="A27" s="112" t="s">
        <v>104</v>
      </c>
      <c r="B27" s="117" t="s">
        <v>100</v>
      </c>
      <c r="C27" s="117" t="s">
        <v>1293</v>
      </c>
      <c r="D27" s="117" t="s">
        <v>102</v>
      </c>
      <c r="E27" s="94" t="s">
        <v>1164</v>
      </c>
      <c r="F27" s="165" t="s">
        <v>572</v>
      </c>
      <c r="G27" s="117" t="s">
        <v>789</v>
      </c>
      <c r="H27" s="165" t="s">
        <v>434</v>
      </c>
      <c r="I27">
        <v>26</v>
      </c>
    </row>
    <row r="28" spans="1:9">
      <c r="A28" s="112" t="s">
        <v>107</v>
      </c>
      <c r="B28" s="117" t="s">
        <v>105</v>
      </c>
      <c r="C28" s="117" t="s">
        <v>1294</v>
      </c>
      <c r="D28" s="117" t="s">
        <v>106</v>
      </c>
      <c r="E28" s="94" t="s">
        <v>1165</v>
      </c>
      <c r="F28" s="165" t="s">
        <v>573</v>
      </c>
      <c r="G28" s="117" t="s">
        <v>790</v>
      </c>
      <c r="H28" s="165" t="s">
        <v>435</v>
      </c>
      <c r="I28">
        <v>27</v>
      </c>
    </row>
    <row r="29" spans="1:9">
      <c r="A29" s="112" t="s">
        <v>109</v>
      </c>
      <c r="B29" s="117" t="s">
        <v>108</v>
      </c>
      <c r="C29" s="117" t="s">
        <v>1295</v>
      </c>
      <c r="D29" s="117" t="s">
        <v>36</v>
      </c>
      <c r="E29" t="s">
        <v>1166</v>
      </c>
      <c r="F29" s="165" t="s">
        <v>574</v>
      </c>
      <c r="G29" s="117" t="s">
        <v>857</v>
      </c>
      <c r="H29" s="165" t="s">
        <v>436</v>
      </c>
      <c r="I29">
        <v>28</v>
      </c>
    </row>
    <row r="30" spans="1:9">
      <c r="A30" s="112" t="s">
        <v>111</v>
      </c>
      <c r="B30" s="117" t="s">
        <v>330</v>
      </c>
      <c r="C30" s="117" t="s">
        <v>1296</v>
      </c>
      <c r="D30" s="117" t="s">
        <v>331</v>
      </c>
      <c r="E30" s="94" t="s">
        <v>1167</v>
      </c>
      <c r="F30" s="165" t="s">
        <v>575</v>
      </c>
      <c r="G30" s="117" t="s">
        <v>791</v>
      </c>
      <c r="H30" s="165" t="s">
        <v>437</v>
      </c>
      <c r="I30">
        <v>29</v>
      </c>
    </row>
    <row r="31" spans="1:9" ht="26.4">
      <c r="A31" s="112" t="s">
        <v>332</v>
      </c>
      <c r="B31" s="117" t="s">
        <v>398</v>
      </c>
      <c r="C31" s="117" t="s">
        <v>1297</v>
      </c>
      <c r="D31" s="117" t="s">
        <v>410</v>
      </c>
      <c r="E31" s="94" t="s">
        <v>1168</v>
      </c>
      <c r="F31" s="165" t="s">
        <v>576</v>
      </c>
      <c r="G31" s="117" t="s">
        <v>792</v>
      </c>
      <c r="H31" s="165" t="s">
        <v>438</v>
      </c>
      <c r="I31">
        <v>30</v>
      </c>
    </row>
    <row r="32" spans="1:9" ht="26.4">
      <c r="A32" s="112" t="s">
        <v>333</v>
      </c>
      <c r="B32" t="s">
        <v>399</v>
      </c>
      <c r="C32" t="s">
        <v>1298</v>
      </c>
      <c r="D32" t="s">
        <v>409</v>
      </c>
      <c r="E32" s="94" t="s">
        <v>1169</v>
      </c>
      <c r="F32" s="165" t="s">
        <v>578</v>
      </c>
      <c r="G32" s="117" t="s">
        <v>858</v>
      </c>
      <c r="H32" s="165" t="s">
        <v>439</v>
      </c>
      <c r="I32">
        <v>31</v>
      </c>
    </row>
    <row r="33" spans="1:9">
      <c r="A33" s="112" t="s">
        <v>134</v>
      </c>
      <c r="B33" t="s">
        <v>43</v>
      </c>
      <c r="C33" t="s">
        <v>1299</v>
      </c>
      <c r="D33" t="s">
        <v>41</v>
      </c>
      <c r="E33" s="94" t="s">
        <v>1170</v>
      </c>
      <c r="F33" s="165" t="s">
        <v>579</v>
      </c>
      <c r="G33" t="s">
        <v>859</v>
      </c>
      <c r="H33" s="165" t="s">
        <v>440</v>
      </c>
      <c r="I33">
        <v>32</v>
      </c>
    </row>
    <row r="34" spans="1:9" ht="26.4">
      <c r="A34" s="112" t="s">
        <v>135</v>
      </c>
      <c r="B34" t="s">
        <v>133</v>
      </c>
      <c r="C34" t="s">
        <v>1300</v>
      </c>
      <c r="D34" t="s">
        <v>132</v>
      </c>
      <c r="E34" s="94" t="s">
        <v>1178</v>
      </c>
      <c r="F34" s="165" t="s">
        <v>580</v>
      </c>
      <c r="G34" t="s">
        <v>864</v>
      </c>
      <c r="H34" s="165" t="s">
        <v>442</v>
      </c>
      <c r="I34">
        <v>33</v>
      </c>
    </row>
    <row r="35" spans="1:9">
      <c r="A35" s="112" t="s">
        <v>136</v>
      </c>
      <c r="B35" t="s">
        <v>397</v>
      </c>
      <c r="C35" t="s">
        <v>1301</v>
      </c>
      <c r="D35" t="s">
        <v>397</v>
      </c>
      <c r="E35" s="94" t="s">
        <v>1179</v>
      </c>
      <c r="F35" s="165" t="s">
        <v>581</v>
      </c>
      <c r="G35" t="s">
        <v>865</v>
      </c>
      <c r="H35" s="165" t="s">
        <v>441</v>
      </c>
      <c r="I35">
        <v>34</v>
      </c>
    </row>
    <row r="36" spans="1:9">
      <c r="A36" s="112" t="s">
        <v>137</v>
      </c>
      <c r="B36" t="s">
        <v>397</v>
      </c>
      <c r="C36" t="s">
        <v>1301</v>
      </c>
      <c r="D36" t="s">
        <v>397</v>
      </c>
      <c r="E36" s="94" t="s">
        <v>1179</v>
      </c>
      <c r="F36" s="165" t="s">
        <v>581</v>
      </c>
      <c r="G36" t="s">
        <v>865</v>
      </c>
      <c r="H36" s="165" t="s">
        <v>441</v>
      </c>
      <c r="I36">
        <v>35</v>
      </c>
    </row>
    <row r="37" spans="1:9">
      <c r="A37" s="112" t="s">
        <v>139</v>
      </c>
      <c r="B37" t="s">
        <v>121</v>
      </c>
      <c r="C37" t="s">
        <v>1302</v>
      </c>
      <c r="D37" t="s">
        <v>122</v>
      </c>
      <c r="E37" s="94" t="s">
        <v>1180</v>
      </c>
      <c r="F37" s="165" t="s">
        <v>582</v>
      </c>
      <c r="G37" t="s">
        <v>768</v>
      </c>
      <c r="H37" s="165" t="s">
        <v>443</v>
      </c>
      <c r="I37">
        <v>36</v>
      </c>
    </row>
    <row r="38" spans="1:9">
      <c r="A38" s="112" t="s">
        <v>140</v>
      </c>
      <c r="B38" t="s">
        <v>123</v>
      </c>
      <c r="C38" t="s">
        <v>1303</v>
      </c>
      <c r="D38" t="s">
        <v>124</v>
      </c>
      <c r="E38" s="94" t="s">
        <v>1181</v>
      </c>
      <c r="F38" s="165" t="s">
        <v>583</v>
      </c>
      <c r="G38" t="s">
        <v>866</v>
      </c>
      <c r="H38" s="165" t="s">
        <v>444</v>
      </c>
      <c r="I38">
        <v>37</v>
      </c>
    </row>
    <row r="39" spans="1:9">
      <c r="A39" s="112" t="s">
        <v>141</v>
      </c>
      <c r="B39" t="s">
        <v>125</v>
      </c>
      <c r="C39" t="s">
        <v>1304</v>
      </c>
      <c r="D39" t="s">
        <v>126</v>
      </c>
      <c r="E39" s="94" t="s">
        <v>1182</v>
      </c>
      <c r="F39" s="165" t="s">
        <v>584</v>
      </c>
      <c r="G39" t="s">
        <v>867</v>
      </c>
      <c r="H39" s="165" t="s">
        <v>445</v>
      </c>
      <c r="I39">
        <v>38</v>
      </c>
    </row>
    <row r="40" spans="1:9">
      <c r="A40" s="112" t="s">
        <v>142</v>
      </c>
      <c r="B40" t="s">
        <v>127</v>
      </c>
      <c r="C40" t="s">
        <v>1305</v>
      </c>
      <c r="D40" t="s">
        <v>128</v>
      </c>
      <c r="E40" s="94" t="s">
        <v>868</v>
      </c>
      <c r="F40" s="165" t="s">
        <v>585</v>
      </c>
      <c r="G40" t="s">
        <v>868</v>
      </c>
      <c r="H40" s="165" t="s">
        <v>459</v>
      </c>
      <c r="I40">
        <v>39</v>
      </c>
    </row>
    <row r="41" spans="1:9">
      <c r="A41" s="112" t="s">
        <v>143</v>
      </c>
      <c r="B41" t="s">
        <v>129</v>
      </c>
      <c r="C41" t="s">
        <v>1306</v>
      </c>
      <c r="D41" t="s">
        <v>130</v>
      </c>
      <c r="E41" s="94" t="s">
        <v>1183</v>
      </c>
      <c r="F41" s="165" t="s">
        <v>586</v>
      </c>
      <c r="G41" t="s">
        <v>769</v>
      </c>
      <c r="H41" s="165" t="s">
        <v>460</v>
      </c>
      <c r="I41">
        <v>40</v>
      </c>
    </row>
    <row r="42" spans="1:9">
      <c r="A42" s="112" t="s">
        <v>144</v>
      </c>
      <c r="B42" t="s">
        <v>38</v>
      </c>
      <c r="C42" t="s">
        <v>1307</v>
      </c>
      <c r="D42" t="s">
        <v>131</v>
      </c>
      <c r="E42" s="94" t="s">
        <v>1184</v>
      </c>
      <c r="F42" s="165" t="s">
        <v>38</v>
      </c>
      <c r="G42" t="s">
        <v>869</v>
      </c>
      <c r="H42" s="165" t="s">
        <v>461</v>
      </c>
      <c r="I42">
        <v>41</v>
      </c>
    </row>
    <row r="43" spans="1:9">
      <c r="A43" s="112" t="s">
        <v>138</v>
      </c>
      <c r="B43" t="s">
        <v>44</v>
      </c>
      <c r="C43" t="s">
        <v>1308</v>
      </c>
      <c r="D43" t="s">
        <v>120</v>
      </c>
      <c r="E43" s="94" t="s">
        <v>1185</v>
      </c>
      <c r="F43" s="165" t="s">
        <v>587</v>
      </c>
      <c r="G43" t="s">
        <v>875</v>
      </c>
      <c r="H43" s="165" t="s">
        <v>462</v>
      </c>
      <c r="I43">
        <v>42</v>
      </c>
    </row>
    <row r="44" spans="1:9">
      <c r="A44" s="112" t="s">
        <v>161</v>
      </c>
      <c r="B44" s="117" t="s">
        <v>162</v>
      </c>
      <c r="C44" s="117" t="s">
        <v>1309</v>
      </c>
      <c r="D44" s="117" t="s">
        <v>163</v>
      </c>
      <c r="E44" s="94" t="s">
        <v>1186</v>
      </c>
      <c r="F44" s="165" t="s">
        <v>588</v>
      </c>
      <c r="G44" s="117" t="s">
        <v>870</v>
      </c>
      <c r="H44" s="165" t="s">
        <v>463</v>
      </c>
      <c r="I44">
        <v>43</v>
      </c>
    </row>
    <row r="45" spans="1:9">
      <c r="A45" s="112" t="s">
        <v>164</v>
      </c>
      <c r="B45" s="117" t="s">
        <v>165</v>
      </c>
      <c r="C45" s="117" t="s">
        <v>1310</v>
      </c>
      <c r="D45" s="117" t="s">
        <v>174</v>
      </c>
      <c r="E45" s="94" t="s">
        <v>1187</v>
      </c>
      <c r="F45" s="165" t="s">
        <v>589</v>
      </c>
      <c r="G45" s="117" t="s">
        <v>871</v>
      </c>
      <c r="H45" s="165" t="s">
        <v>464</v>
      </c>
      <c r="I45">
        <v>44</v>
      </c>
    </row>
    <row r="46" spans="1:9">
      <c r="A46" s="112" t="s">
        <v>1138</v>
      </c>
      <c r="B46" s="117" t="s">
        <v>1139</v>
      </c>
      <c r="C46" s="117" t="s">
        <v>1311</v>
      </c>
      <c r="D46" s="117" t="s">
        <v>1140</v>
      </c>
      <c r="E46" s="94" t="s">
        <v>1188</v>
      </c>
      <c r="F46" s="117" t="s">
        <v>16</v>
      </c>
      <c r="G46" s="117" t="s">
        <v>1361</v>
      </c>
      <c r="H46" s="117" t="s">
        <v>1261</v>
      </c>
      <c r="I46">
        <v>45</v>
      </c>
    </row>
    <row r="47" spans="1:9">
      <c r="A47" s="112" t="s">
        <v>175</v>
      </c>
      <c r="B47" s="117" t="s">
        <v>176</v>
      </c>
      <c r="C47" s="117" t="s">
        <v>1312</v>
      </c>
      <c r="D47" s="117" t="s">
        <v>177</v>
      </c>
      <c r="E47" s="94" t="s">
        <v>1189</v>
      </c>
      <c r="F47" s="165" t="s">
        <v>590</v>
      </c>
      <c r="G47" s="117" t="s">
        <v>872</v>
      </c>
      <c r="H47" s="165" t="s">
        <v>465</v>
      </c>
      <c r="I47">
        <v>46</v>
      </c>
    </row>
    <row r="48" spans="1:9">
      <c r="A48" s="112" t="s">
        <v>178</v>
      </c>
      <c r="B48" s="117" t="s">
        <v>179</v>
      </c>
      <c r="C48" s="117" t="s">
        <v>179</v>
      </c>
      <c r="D48" s="117" t="s">
        <v>179</v>
      </c>
      <c r="E48" s="94" t="s">
        <v>179</v>
      </c>
      <c r="F48" s="165" t="s">
        <v>179</v>
      </c>
      <c r="G48" s="117" t="s">
        <v>179</v>
      </c>
      <c r="H48" s="165" t="s">
        <v>179</v>
      </c>
      <c r="I48">
        <v>47</v>
      </c>
    </row>
    <row r="49" spans="1:9">
      <c r="A49" s="112" t="s">
        <v>180</v>
      </c>
      <c r="B49" s="117" t="s">
        <v>181</v>
      </c>
      <c r="C49" s="117" t="s">
        <v>1313</v>
      </c>
      <c r="D49" s="117" t="s">
        <v>182</v>
      </c>
      <c r="E49" s="94" t="s">
        <v>1190</v>
      </c>
      <c r="F49" s="165" t="s">
        <v>591</v>
      </c>
      <c r="G49" s="117" t="s">
        <v>873</v>
      </c>
      <c r="H49" s="165" t="s">
        <v>466</v>
      </c>
      <c r="I49">
        <v>48</v>
      </c>
    </row>
    <row r="50" spans="1:9">
      <c r="A50" s="112" t="s">
        <v>329</v>
      </c>
      <c r="B50" s="117" t="s">
        <v>37</v>
      </c>
      <c r="C50" s="117" t="s">
        <v>1314</v>
      </c>
      <c r="D50" s="117" t="s">
        <v>37</v>
      </c>
      <c r="E50" s="94" t="s">
        <v>1191</v>
      </c>
      <c r="F50" s="165" t="s">
        <v>592</v>
      </c>
      <c r="G50" s="117" t="s">
        <v>874</v>
      </c>
      <c r="H50" s="165" t="s">
        <v>418</v>
      </c>
      <c r="I50">
        <v>49</v>
      </c>
    </row>
    <row r="51" spans="1:9">
      <c r="A51" s="139" t="s">
        <v>278</v>
      </c>
      <c r="B51" s="140"/>
      <c r="C51" s="140"/>
      <c r="D51" s="140"/>
      <c r="E51" s="177"/>
      <c r="F51" s="164"/>
      <c r="G51" s="140"/>
      <c r="H51" s="164"/>
      <c r="I51">
        <v>50</v>
      </c>
    </row>
    <row r="52" spans="1:9" ht="26.4">
      <c r="A52" s="112" t="s">
        <v>446</v>
      </c>
      <c r="B52" s="117" t="s">
        <v>7</v>
      </c>
      <c r="C52" s="117" t="s">
        <v>906</v>
      </c>
      <c r="D52" s="117" t="s">
        <v>17</v>
      </c>
      <c r="E52" s="94" t="s">
        <v>514</v>
      </c>
      <c r="F52" s="165" t="s">
        <v>894</v>
      </c>
      <c r="G52" s="117" t="s">
        <v>549</v>
      </c>
      <c r="H52" s="165" t="s">
        <v>297</v>
      </c>
      <c r="I52">
        <v>51</v>
      </c>
    </row>
    <row r="53" spans="1:9">
      <c r="A53" s="112" t="s">
        <v>447</v>
      </c>
      <c r="B53" s="117" t="s">
        <v>448</v>
      </c>
      <c r="C53" s="117" t="s">
        <v>907</v>
      </c>
      <c r="D53" s="117" t="s">
        <v>449</v>
      </c>
      <c r="E53" s="94" t="s">
        <v>515</v>
      </c>
      <c r="F53" s="165" t="s">
        <v>895</v>
      </c>
      <c r="G53" s="117" t="s">
        <v>550</v>
      </c>
      <c r="H53" s="165" t="s">
        <v>298</v>
      </c>
      <c r="I53">
        <v>52</v>
      </c>
    </row>
    <row r="54" spans="1:9" ht="26.4">
      <c r="A54" s="112" t="s">
        <v>450</v>
      </c>
      <c r="B54" s="117" t="s">
        <v>8</v>
      </c>
      <c r="C54" s="117" t="s">
        <v>908</v>
      </c>
      <c r="D54" s="117" t="s">
        <v>451</v>
      </c>
      <c r="E54" s="94" t="s">
        <v>516</v>
      </c>
      <c r="F54" s="165" t="s">
        <v>896</v>
      </c>
      <c r="G54" s="117" t="s">
        <v>551</v>
      </c>
      <c r="H54" s="165" t="s">
        <v>299</v>
      </c>
      <c r="I54">
        <v>53</v>
      </c>
    </row>
    <row r="55" spans="1:9" ht="39.6">
      <c r="A55" s="112" t="s">
        <v>452</v>
      </c>
      <c r="B55" s="117" t="s">
        <v>453</v>
      </c>
      <c r="C55" s="117" t="s">
        <v>964</v>
      </c>
      <c r="D55" s="117" t="s">
        <v>12</v>
      </c>
      <c r="E55" s="94" t="s">
        <v>517</v>
      </c>
      <c r="F55" s="165" t="s">
        <v>897</v>
      </c>
      <c r="G55" s="117" t="s">
        <v>552</v>
      </c>
      <c r="H55" s="165" t="s">
        <v>300</v>
      </c>
      <c r="I55">
        <v>54</v>
      </c>
    </row>
    <row r="56" spans="1:9" ht="26.4">
      <c r="A56" s="112" t="s">
        <v>529</v>
      </c>
      <c r="B56" s="117" t="s">
        <v>13</v>
      </c>
      <c r="C56" s="117" t="s">
        <v>965</v>
      </c>
      <c r="D56" s="117" t="s">
        <v>14</v>
      </c>
      <c r="E56" s="94" t="s">
        <v>518</v>
      </c>
      <c r="F56" s="165" t="s">
        <v>898</v>
      </c>
      <c r="G56" s="117" t="s">
        <v>553</v>
      </c>
      <c r="H56" s="165" t="s">
        <v>301</v>
      </c>
      <c r="I56">
        <v>55</v>
      </c>
    </row>
    <row r="57" spans="1:9">
      <c r="A57" s="112" t="s">
        <v>454</v>
      </c>
      <c r="B57" s="117" t="s">
        <v>455</v>
      </c>
      <c r="C57" s="117" t="s">
        <v>966</v>
      </c>
      <c r="D57" s="117" t="s">
        <v>9</v>
      </c>
      <c r="E57" s="94" t="s">
        <v>519</v>
      </c>
      <c r="F57" s="165" t="s">
        <v>899</v>
      </c>
      <c r="G57" s="117" t="s">
        <v>455</v>
      </c>
      <c r="H57" s="165" t="s">
        <v>302</v>
      </c>
      <c r="I57">
        <v>56</v>
      </c>
    </row>
    <row r="58" spans="1:9">
      <c r="A58" s="112" t="s">
        <v>456</v>
      </c>
      <c r="B58" s="117" t="s">
        <v>457</v>
      </c>
      <c r="C58" s="117" t="s">
        <v>967</v>
      </c>
      <c r="D58" s="117" t="s">
        <v>15</v>
      </c>
      <c r="E58" s="94" t="s">
        <v>520</v>
      </c>
      <c r="F58" s="165" t="s">
        <v>900</v>
      </c>
      <c r="G58" s="117" t="s">
        <v>554</v>
      </c>
      <c r="H58" s="165" t="s">
        <v>303</v>
      </c>
      <c r="I58">
        <v>57</v>
      </c>
    </row>
    <row r="59" spans="1:9">
      <c r="A59" s="112" t="s">
        <v>530</v>
      </c>
      <c r="B59" s="117" t="s">
        <v>531</v>
      </c>
      <c r="C59" s="117" t="s">
        <v>968</v>
      </c>
      <c r="D59" s="117" t="s">
        <v>532</v>
      </c>
      <c r="E59" s="94" t="s">
        <v>521</v>
      </c>
      <c r="F59" s="165" t="s">
        <v>901</v>
      </c>
      <c r="G59" s="117" t="s">
        <v>555</v>
      </c>
      <c r="H59" s="165" t="s">
        <v>304</v>
      </c>
      <c r="I59">
        <v>58</v>
      </c>
    </row>
    <row r="60" spans="1:9">
      <c r="A60" s="112" t="s">
        <v>458</v>
      </c>
      <c r="B60" s="117" t="s">
        <v>455</v>
      </c>
      <c r="C60" s="117" t="s">
        <v>969</v>
      </c>
      <c r="D60" s="117" t="s">
        <v>9</v>
      </c>
      <c r="E60" s="94" t="s">
        <v>519</v>
      </c>
      <c r="F60" s="165" t="s">
        <v>902</v>
      </c>
      <c r="G60" s="117" t="s">
        <v>455</v>
      </c>
      <c r="H60" s="165" t="s">
        <v>302</v>
      </c>
      <c r="I60">
        <v>59</v>
      </c>
    </row>
    <row r="61" spans="1:9" ht="79.2">
      <c r="A61" s="112" t="s">
        <v>577</v>
      </c>
      <c r="B61" s="117" t="s">
        <v>10</v>
      </c>
      <c r="C61" s="117" t="s">
        <v>970</v>
      </c>
      <c r="D61" s="117" t="s">
        <v>11</v>
      </c>
      <c r="E61" s="94" t="s">
        <v>522</v>
      </c>
      <c r="F61" s="165" t="s">
        <v>903</v>
      </c>
      <c r="G61" s="117" t="s">
        <v>556</v>
      </c>
      <c r="H61" s="165" t="s">
        <v>305</v>
      </c>
      <c r="I61">
        <v>60</v>
      </c>
    </row>
    <row r="62" spans="1:9">
      <c r="A62" s="112" t="s">
        <v>616</v>
      </c>
      <c r="B62" s="117" t="s">
        <v>311</v>
      </c>
      <c r="C62" s="117" t="s">
        <v>1290</v>
      </c>
      <c r="D62" s="117" t="s">
        <v>92</v>
      </c>
      <c r="E62" s="94" t="s">
        <v>1161</v>
      </c>
      <c r="F62" s="165" t="s">
        <v>569</v>
      </c>
      <c r="G62" s="117" t="s">
        <v>786</v>
      </c>
      <c r="H62" s="165" t="s">
        <v>430</v>
      </c>
      <c r="I62">
        <v>61</v>
      </c>
    </row>
    <row r="63" spans="1:9">
      <c r="A63" s="112" t="s">
        <v>637</v>
      </c>
      <c r="B63" s="117" t="s">
        <v>105</v>
      </c>
      <c r="C63" s="117" t="s">
        <v>1294</v>
      </c>
      <c r="D63" s="117" t="s">
        <v>640</v>
      </c>
      <c r="E63" s="94" t="s">
        <v>1165</v>
      </c>
      <c r="F63" s="165" t="s">
        <v>904</v>
      </c>
      <c r="G63" s="117" t="s">
        <v>790</v>
      </c>
      <c r="H63" s="165" t="s">
        <v>435</v>
      </c>
      <c r="I63">
        <v>62</v>
      </c>
    </row>
    <row r="64" spans="1:9">
      <c r="A64" s="112" t="s">
        <v>638</v>
      </c>
      <c r="B64" s="117" t="s">
        <v>639</v>
      </c>
      <c r="C64" s="117" t="s">
        <v>639</v>
      </c>
      <c r="D64" s="117" t="s">
        <v>639</v>
      </c>
      <c r="E64" s="94" t="s">
        <v>523</v>
      </c>
      <c r="F64" s="165" t="s">
        <v>905</v>
      </c>
      <c r="G64" s="117" t="s">
        <v>557</v>
      </c>
      <c r="H64" s="165" t="s">
        <v>639</v>
      </c>
      <c r="I64">
        <v>63</v>
      </c>
    </row>
    <row r="65" spans="1:9">
      <c r="A65" s="112" t="s">
        <v>496</v>
      </c>
      <c r="B65" s="117" t="s">
        <v>860</v>
      </c>
      <c r="C65" s="117" t="s">
        <v>862</v>
      </c>
      <c r="D65" s="117" t="s">
        <v>862</v>
      </c>
      <c r="E65" s="94" t="s">
        <v>524</v>
      </c>
      <c r="F65" s="165" t="s">
        <v>860</v>
      </c>
      <c r="G65" s="117" t="s">
        <v>558</v>
      </c>
      <c r="H65" s="165" t="s">
        <v>860</v>
      </c>
      <c r="I65">
        <v>64</v>
      </c>
    </row>
    <row r="66" spans="1:9">
      <c r="A66" s="112" t="s">
        <v>497</v>
      </c>
      <c r="B66" s="117" t="s">
        <v>861</v>
      </c>
      <c r="C66" s="117" t="s">
        <v>863</v>
      </c>
      <c r="D66" s="117" t="s">
        <v>863</v>
      </c>
      <c r="E66" s="94" t="s">
        <v>525</v>
      </c>
      <c r="F66" s="165" t="s">
        <v>861</v>
      </c>
      <c r="G66" s="117" t="s">
        <v>559</v>
      </c>
      <c r="H66" s="165" t="s">
        <v>861</v>
      </c>
      <c r="I66">
        <v>65</v>
      </c>
    </row>
    <row r="67" spans="1:9">
      <c r="A67" s="139" t="s">
        <v>212</v>
      </c>
      <c r="B67" s="140"/>
      <c r="C67" s="140"/>
      <c r="D67" s="140"/>
      <c r="E67" s="140"/>
      <c r="F67" s="164"/>
      <c r="G67" s="164"/>
      <c r="H67" s="164"/>
      <c r="I67">
        <v>66</v>
      </c>
    </row>
    <row r="68" spans="1:9">
      <c r="A68" s="17" t="s">
        <v>186</v>
      </c>
      <c r="B68" t="s">
        <v>187</v>
      </c>
      <c r="C68" t="s">
        <v>1315</v>
      </c>
      <c r="D68" t="s">
        <v>188</v>
      </c>
      <c r="E68" s="94" t="s">
        <v>1192</v>
      </c>
      <c r="F68" s="165" t="s">
        <v>593</v>
      </c>
      <c r="G68" t="s">
        <v>773</v>
      </c>
      <c r="H68" s="165" t="s">
        <v>467</v>
      </c>
      <c r="I68">
        <v>67</v>
      </c>
    </row>
    <row r="69" spans="1:9">
      <c r="A69" s="17" t="s">
        <v>189</v>
      </c>
      <c r="B69" t="s">
        <v>64</v>
      </c>
      <c r="C69" t="s">
        <v>1316</v>
      </c>
      <c r="D69" t="s">
        <v>219</v>
      </c>
      <c r="E69" s="94" t="s">
        <v>1193</v>
      </c>
      <c r="F69" s="165" t="s">
        <v>64</v>
      </c>
      <c r="G69" t="s">
        <v>876</v>
      </c>
      <c r="H69" s="165" t="s">
        <v>468</v>
      </c>
      <c r="I69">
        <v>68</v>
      </c>
    </row>
    <row r="70" spans="1:9">
      <c r="A70" s="17" t="s">
        <v>190</v>
      </c>
      <c r="B70" t="s">
        <v>191</v>
      </c>
      <c r="C70" t="s">
        <v>1317</v>
      </c>
      <c r="D70" t="s">
        <v>192</v>
      </c>
      <c r="E70" s="94" t="s">
        <v>192</v>
      </c>
      <c r="F70" s="165" t="s">
        <v>192</v>
      </c>
      <c r="G70" t="s">
        <v>877</v>
      </c>
      <c r="H70" s="165" t="s">
        <v>469</v>
      </c>
      <c r="I70">
        <v>69</v>
      </c>
    </row>
    <row r="71" spans="1:9">
      <c r="A71" s="17" t="s">
        <v>193</v>
      </c>
      <c r="B71" t="s">
        <v>65</v>
      </c>
      <c r="C71" t="s">
        <v>1318</v>
      </c>
      <c r="D71" t="s">
        <v>194</v>
      </c>
      <c r="E71" s="94" t="s">
        <v>1194</v>
      </c>
      <c r="F71" s="165" t="s">
        <v>734</v>
      </c>
      <c r="G71" t="s">
        <v>887</v>
      </c>
      <c r="H71" s="165" t="s">
        <v>471</v>
      </c>
      <c r="I71">
        <v>70</v>
      </c>
    </row>
    <row r="72" spans="1:9">
      <c r="A72" s="17" t="s">
        <v>195</v>
      </c>
      <c r="B72" t="s">
        <v>221</v>
      </c>
      <c r="C72" t="s">
        <v>1319</v>
      </c>
      <c r="D72" t="s">
        <v>196</v>
      </c>
      <c r="E72" t="s">
        <v>221</v>
      </c>
      <c r="F72" s="165" t="s">
        <v>594</v>
      </c>
      <c r="G72" t="s">
        <v>973</v>
      </c>
      <c r="H72" s="165" t="s">
        <v>419</v>
      </c>
      <c r="I72">
        <v>71</v>
      </c>
    </row>
    <row r="73" spans="1:9">
      <c r="A73" s="17" t="s">
        <v>197</v>
      </c>
      <c r="B73" t="s">
        <v>222</v>
      </c>
      <c r="C73" t="s">
        <v>1320</v>
      </c>
      <c r="D73" t="s">
        <v>198</v>
      </c>
      <c r="E73" t="s">
        <v>222</v>
      </c>
      <c r="F73" s="165" t="s">
        <v>595</v>
      </c>
      <c r="G73" t="s">
        <v>974</v>
      </c>
      <c r="H73" s="165" t="s">
        <v>420</v>
      </c>
      <c r="I73">
        <v>72</v>
      </c>
    </row>
    <row r="74" spans="1:9">
      <c r="A74" s="17" t="s">
        <v>199</v>
      </c>
      <c r="B74" t="s">
        <v>200</v>
      </c>
      <c r="C74" t="s">
        <v>1321</v>
      </c>
      <c r="D74" t="s">
        <v>220</v>
      </c>
      <c r="E74" s="94" t="s">
        <v>1195</v>
      </c>
      <c r="F74" s="165" t="s">
        <v>596</v>
      </c>
      <c r="G74" t="s">
        <v>888</v>
      </c>
      <c r="H74" s="165" t="s">
        <v>470</v>
      </c>
      <c r="I74">
        <v>73</v>
      </c>
    </row>
    <row r="75" spans="1:9">
      <c r="A75" s="17" t="s">
        <v>216</v>
      </c>
      <c r="B75" t="s">
        <v>217</v>
      </c>
      <c r="C75" t="s">
        <v>1322</v>
      </c>
      <c r="D75" t="s">
        <v>218</v>
      </c>
      <c r="E75" s="94" t="s">
        <v>1196</v>
      </c>
      <c r="F75" s="165" t="s">
        <v>597</v>
      </c>
      <c r="G75" t="s">
        <v>889</v>
      </c>
      <c r="H75" s="165" t="s">
        <v>472</v>
      </c>
      <c r="I75">
        <v>74</v>
      </c>
    </row>
    <row r="76" spans="1:9">
      <c r="A76" s="17" t="s">
        <v>201</v>
      </c>
      <c r="B76" t="s">
        <v>202</v>
      </c>
      <c r="C76" t="s">
        <v>1323</v>
      </c>
      <c r="D76" t="s">
        <v>203</v>
      </c>
      <c r="E76" s="94" t="s">
        <v>1197</v>
      </c>
      <c r="F76" s="165" t="s">
        <v>598</v>
      </c>
      <c r="G76" t="s">
        <v>878</v>
      </c>
      <c r="H76" s="165" t="s">
        <v>1264</v>
      </c>
      <c r="I76">
        <v>75</v>
      </c>
    </row>
    <row r="77" spans="1:9">
      <c r="A77" s="17" t="s">
        <v>204</v>
      </c>
      <c r="B77" t="s">
        <v>205</v>
      </c>
      <c r="C77" t="s">
        <v>1324</v>
      </c>
      <c r="D77" s="94" t="s">
        <v>206</v>
      </c>
      <c r="E77" s="94" t="s">
        <v>1198</v>
      </c>
      <c r="F77" s="165" t="s">
        <v>599</v>
      </c>
      <c r="G77" t="s">
        <v>880</v>
      </c>
      <c r="H77" s="165" t="s">
        <v>473</v>
      </c>
      <c r="I77">
        <v>76</v>
      </c>
    </row>
    <row r="78" spans="1:9">
      <c r="A78" s="17" t="s">
        <v>207</v>
      </c>
      <c r="B78" t="s">
        <v>208</v>
      </c>
      <c r="C78" t="s">
        <v>1325</v>
      </c>
      <c r="D78" t="s">
        <v>209</v>
      </c>
      <c r="E78" s="94" t="s">
        <v>1199</v>
      </c>
      <c r="F78" s="165" t="s">
        <v>1004</v>
      </c>
      <c r="G78" t="s">
        <v>882</v>
      </c>
      <c r="H78" s="165" t="s">
        <v>475</v>
      </c>
      <c r="I78">
        <v>77</v>
      </c>
    </row>
    <row r="79" spans="1:9">
      <c r="A79" s="17" t="s">
        <v>210</v>
      </c>
      <c r="B79" t="s">
        <v>223</v>
      </c>
      <c r="C79" t="s">
        <v>1326</v>
      </c>
      <c r="D79" t="s">
        <v>224</v>
      </c>
      <c r="E79" s="94" t="s">
        <v>1200</v>
      </c>
      <c r="F79" s="165" t="s">
        <v>1005</v>
      </c>
      <c r="G79" t="s">
        <v>881</v>
      </c>
      <c r="H79" s="165" t="s">
        <v>476</v>
      </c>
      <c r="I79">
        <v>78</v>
      </c>
    </row>
    <row r="80" spans="1:9">
      <c r="A80" s="139" t="s">
        <v>225</v>
      </c>
      <c r="B80" s="140"/>
      <c r="C80" s="140"/>
      <c r="D80" s="140"/>
      <c r="E80" s="140"/>
      <c r="F80" s="164"/>
      <c r="G80" s="164"/>
      <c r="H80" s="164"/>
      <c r="I80">
        <v>79</v>
      </c>
    </row>
    <row r="81" spans="1:10">
      <c r="A81" s="112" t="s">
        <v>1266</v>
      </c>
      <c r="B81" s="307" t="s">
        <v>1268</v>
      </c>
      <c r="C81" s="307" t="s">
        <v>1268</v>
      </c>
      <c r="D81" s="307" t="s">
        <v>1267</v>
      </c>
      <c r="E81" s="307" t="s">
        <v>944</v>
      </c>
      <c r="F81" s="307" t="s">
        <v>909</v>
      </c>
      <c r="G81" s="307" t="s">
        <v>931</v>
      </c>
      <c r="H81" s="307" t="s">
        <v>366</v>
      </c>
      <c r="I81">
        <v>80</v>
      </c>
    </row>
    <row r="82" spans="1:10">
      <c r="A82" s="112" t="s">
        <v>665</v>
      </c>
      <c r="B82" s="307" t="s">
        <v>1131</v>
      </c>
      <c r="C82" s="307" t="s">
        <v>922</v>
      </c>
      <c r="D82" s="307" t="s">
        <v>1132</v>
      </c>
      <c r="E82" s="307" t="s">
        <v>945</v>
      </c>
      <c r="F82" s="307" t="s">
        <v>910</v>
      </c>
      <c r="G82" s="307" t="s">
        <v>932</v>
      </c>
      <c r="H82" s="307" t="s">
        <v>367</v>
      </c>
      <c r="I82">
        <v>81</v>
      </c>
    </row>
    <row r="83" spans="1:10">
      <c r="A83" s="112" t="s">
        <v>666</v>
      </c>
      <c r="B83" s="307" t="s">
        <v>1134</v>
      </c>
      <c r="C83" s="307" t="s">
        <v>923</v>
      </c>
      <c r="D83" s="307" t="s">
        <v>1133</v>
      </c>
      <c r="E83" s="307" t="s">
        <v>946</v>
      </c>
      <c r="F83" s="307" t="s">
        <v>911</v>
      </c>
      <c r="G83" s="307" t="s">
        <v>933</v>
      </c>
      <c r="H83" s="307" t="s">
        <v>368</v>
      </c>
      <c r="I83">
        <v>82</v>
      </c>
    </row>
    <row r="84" spans="1:10">
      <c r="A84" s="112" t="s">
        <v>667</v>
      </c>
      <c r="B84" s="307" t="s">
        <v>664</v>
      </c>
      <c r="C84" s="307" t="s">
        <v>924</v>
      </c>
      <c r="D84" s="307" t="s">
        <v>1127</v>
      </c>
      <c r="E84" s="307" t="s">
        <v>947</v>
      </c>
      <c r="F84" s="307" t="s">
        <v>912</v>
      </c>
      <c r="G84" s="307" t="s">
        <v>934</v>
      </c>
      <c r="H84" s="307" t="s">
        <v>369</v>
      </c>
      <c r="I84">
        <v>83</v>
      </c>
    </row>
    <row r="85" spans="1:10">
      <c r="A85" s="112" t="s">
        <v>668</v>
      </c>
      <c r="B85" s="307" t="s">
        <v>960</v>
      </c>
      <c r="C85" s="307" t="s">
        <v>960</v>
      </c>
      <c r="D85" s="307" t="s">
        <v>961</v>
      </c>
      <c r="E85" s="307" t="s">
        <v>948</v>
      </c>
      <c r="F85" s="307" t="s">
        <v>913</v>
      </c>
      <c r="G85" s="307" t="s">
        <v>935</v>
      </c>
      <c r="H85" s="307" t="s">
        <v>370</v>
      </c>
      <c r="I85">
        <v>84</v>
      </c>
    </row>
    <row r="86" spans="1:10">
      <c r="A86" s="112" t="s">
        <v>669</v>
      </c>
      <c r="B86" s="307" t="s">
        <v>672</v>
      </c>
      <c r="C86" s="307" t="s">
        <v>925</v>
      </c>
      <c r="D86" s="307" t="s">
        <v>1128</v>
      </c>
      <c r="E86" s="307" t="s">
        <v>949</v>
      </c>
      <c r="F86" s="307" t="s">
        <v>914</v>
      </c>
      <c r="G86" s="307" t="s">
        <v>936</v>
      </c>
      <c r="H86" s="307" t="s">
        <v>371</v>
      </c>
      <c r="I86">
        <v>85</v>
      </c>
    </row>
    <row r="87" spans="1:10">
      <c r="A87" s="112" t="s">
        <v>670</v>
      </c>
      <c r="B87" s="307" t="s">
        <v>671</v>
      </c>
      <c r="C87" s="307" t="s">
        <v>926</v>
      </c>
      <c r="D87" s="307" t="s">
        <v>1129</v>
      </c>
      <c r="E87" s="307" t="s">
        <v>950</v>
      </c>
      <c r="F87" s="307" t="s">
        <v>915</v>
      </c>
      <c r="G87" s="307" t="s">
        <v>937</v>
      </c>
      <c r="H87" s="307" t="s">
        <v>372</v>
      </c>
      <c r="I87">
        <v>86</v>
      </c>
    </row>
    <row r="88" spans="1:10">
      <c r="A88" s="112" t="s">
        <v>361</v>
      </c>
      <c r="B88" s="273" t="s">
        <v>360</v>
      </c>
      <c r="C88" s="273" t="s">
        <v>836</v>
      </c>
      <c r="D88" s="273" t="s">
        <v>1</v>
      </c>
      <c r="E88" s="278" t="s">
        <v>526</v>
      </c>
      <c r="F88" s="278" t="s">
        <v>807</v>
      </c>
      <c r="G88" s="275" t="s">
        <v>794</v>
      </c>
      <c r="H88" s="273" t="s">
        <v>825</v>
      </c>
      <c r="I88">
        <v>87</v>
      </c>
    </row>
    <row r="89" spans="1:10">
      <c r="A89" s="112" t="s">
        <v>226</v>
      </c>
      <c r="B89" s="273" t="s">
        <v>1101</v>
      </c>
      <c r="C89" s="273" t="s">
        <v>837</v>
      </c>
      <c r="D89" s="273" t="s">
        <v>1102</v>
      </c>
      <c r="E89" s="278" t="s">
        <v>851</v>
      </c>
      <c r="F89" s="278" t="s">
        <v>827</v>
      </c>
      <c r="G89" s="275" t="s">
        <v>795</v>
      </c>
      <c r="H89" s="273" t="s">
        <v>1101</v>
      </c>
      <c r="I89">
        <v>88</v>
      </c>
    </row>
    <row r="90" spans="1:10">
      <c r="A90" s="112" t="s">
        <v>214</v>
      </c>
      <c r="B90" s="146" t="s">
        <v>215</v>
      </c>
      <c r="C90" s="146" t="s">
        <v>688</v>
      </c>
      <c r="D90" s="146" t="s">
        <v>689</v>
      </c>
      <c r="E90" s="94" t="s">
        <v>690</v>
      </c>
      <c r="F90" s="146" t="s">
        <v>691</v>
      </c>
      <c r="G90" s="37" t="s">
        <v>692</v>
      </c>
      <c r="H90" s="146" t="s">
        <v>693</v>
      </c>
      <c r="I90">
        <v>89</v>
      </c>
    </row>
    <row r="91" spans="1:10" s="266" customFormat="1">
      <c r="A91" s="112" t="s">
        <v>243</v>
      </c>
      <c r="B91" s="273" t="s">
        <v>1103</v>
      </c>
      <c r="C91" s="273" t="s">
        <v>839</v>
      </c>
      <c r="D91" s="273" t="s">
        <v>1104</v>
      </c>
      <c r="E91" s="278" t="s">
        <v>855</v>
      </c>
      <c r="F91" s="278" t="s">
        <v>808</v>
      </c>
      <c r="G91" s="275" t="s">
        <v>797</v>
      </c>
      <c r="H91" s="273" t="s">
        <v>1103</v>
      </c>
      <c r="I91">
        <v>90</v>
      </c>
      <c r="J91"/>
    </row>
    <row r="92" spans="1:10" s="266" customFormat="1">
      <c r="A92" s="112" t="s">
        <v>248</v>
      </c>
      <c r="B92" s="273" t="s">
        <v>829</v>
      </c>
      <c r="C92" s="273" t="s">
        <v>840</v>
      </c>
      <c r="D92" s="273" t="s">
        <v>1106</v>
      </c>
      <c r="E92" s="278" t="s">
        <v>853</v>
      </c>
      <c r="F92" s="279" t="s">
        <v>1110</v>
      </c>
      <c r="G92" s="275" t="s">
        <v>798</v>
      </c>
      <c r="H92" s="273" t="s">
        <v>816</v>
      </c>
      <c r="I92">
        <v>91</v>
      </c>
      <c r="J92"/>
    </row>
    <row r="93" spans="1:10" s="266" customFormat="1">
      <c r="A93" s="112" t="s">
        <v>247</v>
      </c>
      <c r="B93" s="273" t="s">
        <v>1105</v>
      </c>
      <c r="C93" s="273" t="s">
        <v>841</v>
      </c>
      <c r="D93" s="273" t="s">
        <v>830</v>
      </c>
      <c r="E93" s="278" t="s">
        <v>856</v>
      </c>
      <c r="F93" s="279" t="s">
        <v>1109</v>
      </c>
      <c r="G93" s="275" t="s">
        <v>799</v>
      </c>
      <c r="H93" s="273" t="s">
        <v>817</v>
      </c>
      <c r="I93">
        <v>92</v>
      </c>
      <c r="J93"/>
    </row>
    <row r="94" spans="1:10">
      <c r="A94" s="112" t="s">
        <v>740</v>
      </c>
      <c r="B94" s="146" t="s">
        <v>527</v>
      </c>
      <c r="C94" s="146" t="s">
        <v>1118</v>
      </c>
      <c r="D94" s="146" t="s">
        <v>1119</v>
      </c>
      <c r="E94" s="94" t="s">
        <v>1120</v>
      </c>
      <c r="F94" s="146" t="s">
        <v>1121</v>
      </c>
      <c r="G94" s="37" t="s">
        <v>1122</v>
      </c>
      <c r="H94" s="146" t="s">
        <v>1123</v>
      </c>
      <c r="I94">
        <v>93</v>
      </c>
    </row>
    <row r="95" spans="1:10">
      <c r="A95" s="112" t="s">
        <v>227</v>
      </c>
      <c r="B95" s="37" t="s">
        <v>394</v>
      </c>
      <c r="C95" s="37" t="s">
        <v>394</v>
      </c>
      <c r="D95" s="37" t="s">
        <v>395</v>
      </c>
      <c r="E95" s="94" t="s">
        <v>1202</v>
      </c>
      <c r="F95" s="165" t="s">
        <v>600</v>
      </c>
      <c r="G95" s="37" t="s">
        <v>770</v>
      </c>
      <c r="H95" s="165" t="s">
        <v>477</v>
      </c>
      <c r="I95">
        <v>94</v>
      </c>
    </row>
    <row r="96" spans="1:10">
      <c r="A96" s="112" t="s">
        <v>326</v>
      </c>
      <c r="B96" s="37" t="s">
        <v>327</v>
      </c>
      <c r="C96" s="37" t="s">
        <v>1327</v>
      </c>
      <c r="D96" s="37" t="s">
        <v>328</v>
      </c>
      <c r="E96" s="94" t="s">
        <v>1203</v>
      </c>
      <c r="F96" s="165" t="s">
        <v>601</v>
      </c>
      <c r="G96" s="37" t="s">
        <v>879</v>
      </c>
      <c r="H96" s="165" t="s">
        <v>1265</v>
      </c>
      <c r="I96">
        <v>95</v>
      </c>
    </row>
    <row r="97" spans="1:10">
      <c r="A97" s="112" t="s">
        <v>385</v>
      </c>
      <c r="B97" s="37" t="s">
        <v>33</v>
      </c>
      <c r="C97" s="37" t="s">
        <v>1328</v>
      </c>
      <c r="D97" s="37" t="s">
        <v>391</v>
      </c>
      <c r="E97" s="94" t="s">
        <v>1204</v>
      </c>
      <c r="F97" s="165" t="s">
        <v>602</v>
      </c>
      <c r="G97" s="37" t="s">
        <v>883</v>
      </c>
      <c r="H97" s="165" t="s">
        <v>474</v>
      </c>
      <c r="I97">
        <v>96</v>
      </c>
    </row>
    <row r="98" spans="1:10" ht="39.6">
      <c r="A98" s="112" t="s">
        <v>386</v>
      </c>
      <c r="B98" s="146" t="s">
        <v>308</v>
      </c>
      <c r="C98" s="146" t="s">
        <v>1329</v>
      </c>
      <c r="D98" s="146" t="s">
        <v>390</v>
      </c>
      <c r="E98" s="94" t="s">
        <v>1205</v>
      </c>
      <c r="F98" s="165" t="s">
        <v>603</v>
      </c>
      <c r="G98" s="146" t="s">
        <v>885</v>
      </c>
      <c r="H98" s="165" t="s">
        <v>481</v>
      </c>
      <c r="I98">
        <v>97</v>
      </c>
    </row>
    <row r="99" spans="1:10">
      <c r="A99" s="112" t="s">
        <v>743</v>
      </c>
      <c r="B99" s="146" t="s">
        <v>5</v>
      </c>
      <c r="C99" s="146" t="s">
        <v>1330</v>
      </c>
      <c r="D99" s="146" t="s">
        <v>4</v>
      </c>
      <c r="E99" s="94" t="s">
        <v>1206</v>
      </c>
      <c r="F99" s="146" t="s">
        <v>1007</v>
      </c>
      <c r="G99" s="146" t="s">
        <v>884</v>
      </c>
      <c r="H99" s="146" t="s">
        <v>1008</v>
      </c>
      <c r="I99">
        <v>98</v>
      </c>
    </row>
    <row r="100" spans="1:10">
      <c r="A100" s="112" t="s">
        <v>722</v>
      </c>
      <c r="B100" s="146" t="s">
        <v>1467</v>
      </c>
      <c r="C100" s="146" t="s">
        <v>1331</v>
      </c>
      <c r="D100" s="146" t="s">
        <v>963</v>
      </c>
      <c r="E100" s="94" t="s">
        <v>1207</v>
      </c>
      <c r="F100" s="146" t="s">
        <v>756</v>
      </c>
      <c r="G100" s="146" t="s">
        <v>886</v>
      </c>
      <c r="H100" s="146" t="s">
        <v>748</v>
      </c>
      <c r="I100">
        <v>99</v>
      </c>
    </row>
    <row r="101" spans="1:10" s="266" customFormat="1" ht="26.4">
      <c r="A101" s="112" t="s">
        <v>242</v>
      </c>
      <c r="B101" s="273" t="s">
        <v>1468</v>
      </c>
      <c r="C101" s="273" t="s">
        <v>838</v>
      </c>
      <c r="D101" s="273" t="s">
        <v>1108</v>
      </c>
      <c r="E101" s="278" t="s">
        <v>852</v>
      </c>
      <c r="F101" s="278" t="s">
        <v>828</v>
      </c>
      <c r="G101" s="276" t="s">
        <v>796</v>
      </c>
      <c r="H101" s="273" t="s">
        <v>815</v>
      </c>
      <c r="I101">
        <v>100</v>
      </c>
      <c r="J101"/>
    </row>
    <row r="102" spans="1:10">
      <c r="A102" s="112" t="s">
        <v>745</v>
      </c>
      <c r="B102" s="146" t="s">
        <v>714</v>
      </c>
      <c r="C102" s="146" t="s">
        <v>708</v>
      </c>
      <c r="D102" s="146" t="s">
        <v>709</v>
      </c>
      <c r="E102" s="94" t="s">
        <v>710</v>
      </c>
      <c r="F102" s="146" t="s">
        <v>711</v>
      </c>
      <c r="G102" s="146" t="s">
        <v>712</v>
      </c>
      <c r="H102" s="146" t="s">
        <v>713</v>
      </c>
      <c r="I102">
        <v>101</v>
      </c>
    </row>
    <row r="103" spans="1:10">
      <c r="A103" s="112" t="s">
        <v>746</v>
      </c>
      <c r="B103" s="146" t="s">
        <v>1111</v>
      </c>
      <c r="C103" s="146" t="s">
        <v>1112</v>
      </c>
      <c r="D103" s="146" t="s">
        <v>1113</v>
      </c>
      <c r="E103" s="94" t="s">
        <v>1114</v>
      </c>
      <c r="F103" s="146" t="s">
        <v>1115</v>
      </c>
      <c r="G103" s="146" t="s">
        <v>1116</v>
      </c>
      <c r="H103" s="146" t="s">
        <v>1117</v>
      </c>
      <c r="I103">
        <v>102</v>
      </c>
    </row>
    <row r="104" spans="1:10">
      <c r="A104" s="112" t="s">
        <v>723</v>
      </c>
      <c r="B104" s="146" t="s">
        <v>702</v>
      </c>
      <c r="C104" s="146" t="s">
        <v>703</v>
      </c>
      <c r="D104" s="146" t="s">
        <v>704</v>
      </c>
      <c r="E104" s="94" t="s">
        <v>702</v>
      </c>
      <c r="F104" s="146" t="s">
        <v>705</v>
      </c>
      <c r="G104" s="146" t="s">
        <v>706</v>
      </c>
      <c r="H104" s="146" t="s">
        <v>707</v>
      </c>
      <c r="I104">
        <v>103</v>
      </c>
    </row>
    <row r="105" spans="1:10">
      <c r="A105" s="112" t="s">
        <v>737</v>
      </c>
      <c r="B105" s="278" t="s">
        <v>1597</v>
      </c>
      <c r="C105" s="278" t="s">
        <v>1598</v>
      </c>
      <c r="D105" s="278" t="s">
        <v>1599</v>
      </c>
      <c r="E105" s="278" t="s">
        <v>1600</v>
      </c>
      <c r="F105" s="278" t="s">
        <v>1601</v>
      </c>
      <c r="G105" s="375" t="s">
        <v>1602</v>
      </c>
      <c r="H105" s="278" t="s">
        <v>1603</v>
      </c>
      <c r="I105">
        <v>104</v>
      </c>
    </row>
    <row r="106" spans="1:10">
      <c r="A106" s="112" t="s">
        <v>726</v>
      </c>
      <c r="B106" s="146" t="s">
        <v>1469</v>
      </c>
      <c r="C106" s="146" t="s">
        <v>1332</v>
      </c>
      <c r="D106" s="146" t="s">
        <v>213</v>
      </c>
      <c r="E106" s="94" t="s">
        <v>1226</v>
      </c>
      <c r="F106" s="146" t="s">
        <v>757</v>
      </c>
      <c r="G106" s="37" t="s">
        <v>977</v>
      </c>
      <c r="H106" s="146" t="s">
        <v>749</v>
      </c>
      <c r="I106">
        <v>105</v>
      </c>
    </row>
    <row r="107" spans="1:10">
      <c r="A107" s="112" t="s">
        <v>727</v>
      </c>
      <c r="B107" s="146" t="s">
        <v>6</v>
      </c>
      <c r="C107" s="146" t="s">
        <v>6</v>
      </c>
      <c r="D107" s="146" t="s">
        <v>6</v>
      </c>
      <c r="E107" s="94" t="s">
        <v>6</v>
      </c>
      <c r="F107" s="146" t="s">
        <v>758</v>
      </c>
      <c r="G107" s="37" t="s">
        <v>890</v>
      </c>
      <c r="H107" s="146" t="s">
        <v>750</v>
      </c>
      <c r="I107">
        <v>106</v>
      </c>
    </row>
    <row r="108" spans="1:10">
      <c r="A108" s="112" t="s">
        <v>541</v>
      </c>
      <c r="B108" s="278" t="s">
        <v>1608</v>
      </c>
      <c r="C108" s="278" t="s">
        <v>1610</v>
      </c>
      <c r="D108" s="278" t="s">
        <v>1612</v>
      </c>
      <c r="E108" s="278" t="s">
        <v>1614</v>
      </c>
      <c r="F108" s="278" t="s">
        <v>1616</v>
      </c>
      <c r="G108" s="375" t="s">
        <v>1618</v>
      </c>
      <c r="H108" s="278" t="s">
        <v>1620</v>
      </c>
      <c r="I108">
        <v>107</v>
      </c>
    </row>
    <row r="109" spans="1:10">
      <c r="A109" s="112" t="s">
        <v>315</v>
      </c>
      <c r="B109" s="384" t="s">
        <v>1609</v>
      </c>
      <c r="C109" s="384" t="s">
        <v>1611</v>
      </c>
      <c r="D109" s="384" t="s">
        <v>1613</v>
      </c>
      <c r="E109" s="384" t="s">
        <v>1615</v>
      </c>
      <c r="F109" s="384" t="s">
        <v>1617</v>
      </c>
      <c r="G109" s="161" t="s">
        <v>1619</v>
      </c>
      <c r="H109" s="384" t="s">
        <v>1621</v>
      </c>
      <c r="I109">
        <v>108</v>
      </c>
    </row>
    <row r="110" spans="1:10">
      <c r="A110" s="112" t="s">
        <v>728</v>
      </c>
      <c r="B110" s="146" t="s">
        <v>29</v>
      </c>
      <c r="C110" s="146" t="s">
        <v>1333</v>
      </c>
      <c r="D110" s="146" t="s">
        <v>28</v>
      </c>
      <c r="E110" s="94" t="s">
        <v>1227</v>
      </c>
      <c r="F110" s="146" t="s">
        <v>759</v>
      </c>
      <c r="G110" s="37" t="s">
        <v>891</v>
      </c>
      <c r="H110" s="146" t="s">
        <v>751</v>
      </c>
      <c r="I110">
        <v>109</v>
      </c>
    </row>
    <row r="111" spans="1:10">
      <c r="A111" s="112" t="s">
        <v>244</v>
      </c>
      <c r="B111" s="273" t="s">
        <v>724</v>
      </c>
      <c r="C111" s="273" t="s">
        <v>927</v>
      </c>
      <c r="D111" s="273" t="s">
        <v>725</v>
      </c>
      <c r="E111" s="273" t="s">
        <v>951</v>
      </c>
      <c r="F111" s="273" t="s">
        <v>916</v>
      </c>
      <c r="G111" s="307" t="s">
        <v>938</v>
      </c>
      <c r="H111" s="273" t="s">
        <v>373</v>
      </c>
      <c r="I111">
        <v>110</v>
      </c>
    </row>
    <row r="112" spans="1:10">
      <c r="A112" s="112" t="s">
        <v>323</v>
      </c>
      <c r="B112" s="278" t="s">
        <v>1622</v>
      </c>
      <c r="C112" s="273" t="s">
        <v>1623</v>
      </c>
      <c r="D112" s="273" t="s">
        <v>1624</v>
      </c>
      <c r="E112" s="273" t="s">
        <v>1625</v>
      </c>
      <c r="F112" s="273" t="s">
        <v>1626</v>
      </c>
      <c r="G112" s="318" t="s">
        <v>1627</v>
      </c>
      <c r="H112" s="273" t="s">
        <v>1628</v>
      </c>
      <c r="I112">
        <v>111</v>
      </c>
    </row>
    <row r="113" spans="1:10">
      <c r="A113" s="112" t="s">
        <v>747</v>
      </c>
      <c r="B113" s="273" t="s">
        <v>1406</v>
      </c>
      <c r="C113" s="273" t="s">
        <v>1407</v>
      </c>
      <c r="D113" s="273" t="s">
        <v>1408</v>
      </c>
      <c r="E113" s="273" t="s">
        <v>1409</v>
      </c>
      <c r="F113" s="273" t="s">
        <v>1410</v>
      </c>
      <c r="G113" s="277" t="s">
        <v>1411</v>
      </c>
      <c r="H113" s="273" t="s">
        <v>1412</v>
      </c>
      <c r="I113">
        <v>112</v>
      </c>
    </row>
    <row r="114" spans="1:10">
      <c r="A114" s="112" t="s">
        <v>675</v>
      </c>
      <c r="B114" s="273" t="s">
        <v>676</v>
      </c>
      <c r="C114" s="273" t="s">
        <v>928</v>
      </c>
      <c r="D114" s="273" t="s">
        <v>388</v>
      </c>
      <c r="E114" s="273" t="s">
        <v>952</v>
      </c>
      <c r="F114" s="273" t="s">
        <v>917</v>
      </c>
      <c r="G114" s="307" t="s">
        <v>939</v>
      </c>
      <c r="H114" s="273" t="s">
        <v>374</v>
      </c>
      <c r="I114">
        <v>113</v>
      </c>
    </row>
    <row r="115" spans="1:10">
      <c r="A115" s="112" t="s">
        <v>673</v>
      </c>
      <c r="B115" s="273" t="s">
        <v>685</v>
      </c>
      <c r="C115" s="273" t="s">
        <v>929</v>
      </c>
      <c r="D115" s="273" t="s">
        <v>387</v>
      </c>
      <c r="E115" s="273" t="s">
        <v>953</v>
      </c>
      <c r="F115" s="273" t="s">
        <v>918</v>
      </c>
      <c r="G115" s="307" t="s">
        <v>940</v>
      </c>
      <c r="H115" s="273" t="s">
        <v>375</v>
      </c>
      <c r="I115">
        <v>114</v>
      </c>
    </row>
    <row r="116" spans="1:10">
      <c r="A116" s="112" t="s">
        <v>674</v>
      </c>
      <c r="B116" s="273" t="s">
        <v>677</v>
      </c>
      <c r="C116" s="273" t="s">
        <v>930</v>
      </c>
      <c r="D116" s="273" t="s">
        <v>389</v>
      </c>
      <c r="E116" s="273" t="s">
        <v>954</v>
      </c>
      <c r="F116" s="273" t="s">
        <v>919</v>
      </c>
      <c r="G116" s="307" t="s">
        <v>941</v>
      </c>
      <c r="H116" s="273" t="s">
        <v>376</v>
      </c>
      <c r="I116">
        <v>115</v>
      </c>
    </row>
    <row r="117" spans="1:10">
      <c r="A117" s="112" t="s">
        <v>729</v>
      </c>
      <c r="B117" s="384" t="s">
        <v>1638</v>
      </c>
      <c r="C117" s="384" t="s">
        <v>1639</v>
      </c>
      <c r="D117" s="384" t="s">
        <v>1640</v>
      </c>
      <c r="E117" s="384" t="s">
        <v>1641</v>
      </c>
      <c r="F117" s="384" t="s">
        <v>1642</v>
      </c>
      <c r="G117" s="161" t="s">
        <v>1643</v>
      </c>
      <c r="H117" s="384" t="s">
        <v>1644</v>
      </c>
      <c r="I117">
        <v>116</v>
      </c>
    </row>
    <row r="118" spans="1:10" ht="26.4">
      <c r="A118" s="112" t="s">
        <v>730</v>
      </c>
      <c r="B118" s="384" t="s">
        <v>1651</v>
      </c>
      <c r="C118" s="384" t="s">
        <v>1650</v>
      </c>
      <c r="D118" s="384" t="s">
        <v>1649</v>
      </c>
      <c r="E118" s="384" t="s">
        <v>1648</v>
      </c>
      <c r="F118" s="384" t="s">
        <v>1647</v>
      </c>
      <c r="G118" s="161" t="s">
        <v>1646</v>
      </c>
      <c r="H118" s="384" t="s">
        <v>1645</v>
      </c>
      <c r="I118">
        <v>117</v>
      </c>
    </row>
    <row r="119" spans="1:10" ht="26.4">
      <c r="A119" s="112" t="s">
        <v>678</v>
      </c>
      <c r="B119" s="278" t="s">
        <v>1652</v>
      </c>
      <c r="C119" s="278" t="s">
        <v>1653</v>
      </c>
      <c r="D119" s="278" t="s">
        <v>1654</v>
      </c>
      <c r="E119" s="278" t="s">
        <v>1655</v>
      </c>
      <c r="F119" s="278" t="s">
        <v>1656</v>
      </c>
      <c r="G119" s="375" t="s">
        <v>1657</v>
      </c>
      <c r="H119" s="278" t="s">
        <v>1658</v>
      </c>
      <c r="I119">
        <v>118</v>
      </c>
    </row>
    <row r="120" spans="1:10">
      <c r="A120" s="112" t="s">
        <v>731</v>
      </c>
      <c r="B120" s="146" t="s">
        <v>542</v>
      </c>
      <c r="C120" s="146" t="s">
        <v>687</v>
      </c>
      <c r="D120" s="273" t="s">
        <v>30</v>
      </c>
      <c r="E120" s="94" t="s">
        <v>1228</v>
      </c>
      <c r="F120" s="146" t="s">
        <v>760</v>
      </c>
      <c r="G120" s="37" t="s">
        <v>971</v>
      </c>
      <c r="H120" s="146" t="s">
        <v>752</v>
      </c>
      <c r="I120">
        <v>119</v>
      </c>
    </row>
    <row r="121" spans="1:10">
      <c r="A121" s="112" t="s">
        <v>732</v>
      </c>
      <c r="B121" s="146" t="s">
        <v>1470</v>
      </c>
      <c r="C121" s="146" t="s">
        <v>1334</v>
      </c>
      <c r="D121" s="146" t="s">
        <v>962</v>
      </c>
      <c r="E121" s="94" t="s">
        <v>1229</v>
      </c>
      <c r="F121" s="146" t="s">
        <v>761</v>
      </c>
      <c r="G121" s="37" t="s">
        <v>976</v>
      </c>
      <c r="H121" s="146" t="s">
        <v>753</v>
      </c>
      <c r="I121">
        <v>120</v>
      </c>
    </row>
    <row r="122" spans="1:10">
      <c r="A122" s="112" t="s">
        <v>655</v>
      </c>
      <c r="B122" s="278" t="s">
        <v>1629</v>
      </c>
      <c r="C122" s="278" t="s">
        <v>1630</v>
      </c>
      <c r="D122" s="278" t="s">
        <v>1631</v>
      </c>
      <c r="E122" s="278" t="s">
        <v>1632</v>
      </c>
      <c r="F122" s="278" t="s">
        <v>1633</v>
      </c>
      <c r="G122" s="375" t="s">
        <v>1634</v>
      </c>
      <c r="H122" s="278" t="s">
        <v>1635</v>
      </c>
      <c r="I122">
        <v>121</v>
      </c>
    </row>
    <row r="123" spans="1:10">
      <c r="A123" s="112" t="s">
        <v>733</v>
      </c>
      <c r="B123" s="146" t="s">
        <v>1354</v>
      </c>
      <c r="C123" s="146" t="s">
        <v>1355</v>
      </c>
      <c r="D123" s="146" t="s">
        <v>1356</v>
      </c>
      <c r="E123" s="94" t="s">
        <v>1357</v>
      </c>
      <c r="F123" s="146" t="s">
        <v>1358</v>
      </c>
      <c r="G123" s="37" t="s">
        <v>1357</v>
      </c>
      <c r="H123" s="146" t="s">
        <v>1359</v>
      </c>
      <c r="I123">
        <v>122</v>
      </c>
    </row>
    <row r="124" spans="1:10">
      <c r="A124" s="112" t="s">
        <v>735</v>
      </c>
      <c r="B124" s="384" t="s">
        <v>1604</v>
      </c>
      <c r="C124" s="384" t="s">
        <v>1604</v>
      </c>
      <c r="D124" s="384" t="s">
        <v>1604</v>
      </c>
      <c r="E124" s="384" t="s">
        <v>1605</v>
      </c>
      <c r="F124" s="384" t="s">
        <v>1606</v>
      </c>
      <c r="G124" s="161" t="s">
        <v>1607</v>
      </c>
      <c r="H124" s="384" t="s">
        <v>1604</v>
      </c>
      <c r="I124">
        <v>123</v>
      </c>
    </row>
    <row r="125" spans="1:10" ht="26.4">
      <c r="A125" s="112" t="s">
        <v>736</v>
      </c>
      <c r="B125" s="384" t="s">
        <v>1787</v>
      </c>
      <c r="C125" s="384" t="s">
        <v>1787</v>
      </c>
      <c r="D125" s="384" t="s">
        <v>1787</v>
      </c>
      <c r="E125" s="384" t="s">
        <v>1788</v>
      </c>
      <c r="F125" s="384" t="s">
        <v>1789</v>
      </c>
      <c r="G125" s="161" t="s">
        <v>1790</v>
      </c>
      <c r="H125" s="384" t="s">
        <v>1791</v>
      </c>
      <c r="I125">
        <v>124</v>
      </c>
    </row>
    <row r="126" spans="1:10" ht="26.4">
      <c r="A126" s="303" t="s">
        <v>738</v>
      </c>
      <c r="B126" s="304" t="s">
        <v>393</v>
      </c>
      <c r="C126" s="304" t="s">
        <v>393</v>
      </c>
      <c r="D126" s="304" t="s">
        <v>392</v>
      </c>
      <c r="E126" s="304" t="s">
        <v>1230</v>
      </c>
      <c r="F126" s="304" t="s">
        <v>762</v>
      </c>
      <c r="G126" s="305" t="s">
        <v>978</v>
      </c>
      <c r="H126" s="304" t="s">
        <v>393</v>
      </c>
      <c r="I126">
        <v>125</v>
      </c>
    </row>
    <row r="127" spans="1:10" s="266" customFormat="1" ht="26.4">
      <c r="A127" s="112" t="s">
        <v>1208</v>
      </c>
      <c r="B127" s="273" t="s">
        <v>831</v>
      </c>
      <c r="C127" s="273" t="s">
        <v>842</v>
      </c>
      <c r="D127" s="277" t="s">
        <v>1107</v>
      </c>
      <c r="E127" s="278" t="s">
        <v>854</v>
      </c>
      <c r="F127" s="278" t="s">
        <v>826</v>
      </c>
      <c r="G127" s="276" t="s">
        <v>800</v>
      </c>
      <c r="H127" s="273" t="s">
        <v>818</v>
      </c>
      <c r="I127">
        <v>126</v>
      </c>
      <c r="J127"/>
    </row>
    <row r="128" spans="1:10" s="266" customFormat="1">
      <c r="A128" s="112" t="s">
        <v>739</v>
      </c>
      <c r="B128" s="273" t="s">
        <v>316</v>
      </c>
      <c r="C128" s="273" t="s">
        <v>317</v>
      </c>
      <c r="D128" s="273" t="s">
        <v>318</v>
      </c>
      <c r="E128" s="278" t="s">
        <v>319</v>
      </c>
      <c r="F128" s="278" t="s">
        <v>320</v>
      </c>
      <c r="G128" s="275" t="s">
        <v>321</v>
      </c>
      <c r="H128" s="273" t="s">
        <v>322</v>
      </c>
      <c r="I128">
        <v>127</v>
      </c>
      <c r="J128"/>
    </row>
    <row r="129" spans="1:10" ht="26.4">
      <c r="A129" s="112" t="s">
        <v>741</v>
      </c>
      <c r="B129" s="146" t="s">
        <v>694</v>
      </c>
      <c r="C129" s="146" t="s">
        <v>695</v>
      </c>
      <c r="D129" s="146" t="s">
        <v>696</v>
      </c>
      <c r="E129" s="94" t="s">
        <v>697</v>
      </c>
      <c r="F129" s="146" t="s">
        <v>698</v>
      </c>
      <c r="G129" s="37" t="s">
        <v>699</v>
      </c>
      <c r="H129" s="146" t="s">
        <v>700</v>
      </c>
      <c r="I129">
        <v>128</v>
      </c>
    </row>
    <row r="130" spans="1:10">
      <c r="A130" s="112" t="s">
        <v>744</v>
      </c>
      <c r="B130" s="146" t="s">
        <v>156</v>
      </c>
      <c r="C130" s="146" t="s">
        <v>1335</v>
      </c>
      <c r="D130" s="146" t="s">
        <v>155</v>
      </c>
      <c r="E130" s="94" t="s">
        <v>1231</v>
      </c>
      <c r="F130" s="146" t="s">
        <v>763</v>
      </c>
      <c r="G130" s="37" t="s">
        <v>975</v>
      </c>
      <c r="H130" s="146" t="s">
        <v>754</v>
      </c>
      <c r="I130">
        <v>129</v>
      </c>
    </row>
    <row r="131" spans="1:10">
      <c r="A131" s="112" t="s">
        <v>656</v>
      </c>
      <c r="B131" s="146" t="s">
        <v>657</v>
      </c>
      <c r="C131" s="146" t="s">
        <v>658</v>
      </c>
      <c r="D131" s="146" t="s">
        <v>659</v>
      </c>
      <c r="E131" s="94" t="s">
        <v>660</v>
      </c>
      <c r="F131" s="146" t="s">
        <v>661</v>
      </c>
      <c r="G131" s="37" t="s">
        <v>662</v>
      </c>
      <c r="H131" s="146" t="s">
        <v>663</v>
      </c>
      <c r="I131">
        <v>130</v>
      </c>
    </row>
    <row r="132" spans="1:10">
      <c r="A132" s="112" t="s">
        <v>742</v>
      </c>
      <c r="B132" s="146" t="s">
        <v>32</v>
      </c>
      <c r="C132" s="146" t="s">
        <v>1336</v>
      </c>
      <c r="D132" s="146" t="s">
        <v>31</v>
      </c>
      <c r="E132" s="94" t="s">
        <v>1232</v>
      </c>
      <c r="F132" s="146" t="s">
        <v>764</v>
      </c>
      <c r="G132" s="37" t="s">
        <v>972</v>
      </c>
      <c r="H132" s="146" t="s">
        <v>755</v>
      </c>
      <c r="I132">
        <v>131</v>
      </c>
    </row>
    <row r="133" spans="1:10" s="266" customFormat="1">
      <c r="A133" s="112" t="s">
        <v>1225</v>
      </c>
      <c r="B133" s="280" t="s">
        <v>246</v>
      </c>
      <c r="C133" s="280" t="s">
        <v>246</v>
      </c>
      <c r="D133" s="280" t="s">
        <v>1130</v>
      </c>
      <c r="E133" s="280" t="s">
        <v>955</v>
      </c>
      <c r="F133" s="280" t="s">
        <v>920</v>
      </c>
      <c r="G133" s="307" t="s">
        <v>942</v>
      </c>
      <c r="H133" s="280" t="s">
        <v>377</v>
      </c>
      <c r="I133">
        <v>132</v>
      </c>
      <c r="J133"/>
    </row>
    <row r="134" spans="1:10" s="266" customFormat="1">
      <c r="A134" s="303" t="s">
        <v>1673</v>
      </c>
      <c r="B134" s="390" t="s">
        <v>1209</v>
      </c>
      <c r="C134" s="391" t="s">
        <v>832</v>
      </c>
      <c r="D134" s="391" t="s">
        <v>1210</v>
      </c>
      <c r="E134" s="391" t="s">
        <v>845</v>
      </c>
      <c r="F134" s="391" t="s">
        <v>809</v>
      </c>
      <c r="G134" s="392" t="s">
        <v>801</v>
      </c>
      <c r="H134" s="391" t="s">
        <v>819</v>
      </c>
      <c r="I134">
        <v>133</v>
      </c>
      <c r="J134"/>
    </row>
    <row r="135" spans="1:10" s="266" customFormat="1">
      <c r="A135" s="303" t="s">
        <v>1674</v>
      </c>
      <c r="B135" s="390" t="s">
        <v>1211</v>
      </c>
      <c r="C135" s="391" t="s">
        <v>833</v>
      </c>
      <c r="D135" s="391" t="s">
        <v>1212</v>
      </c>
      <c r="E135" s="391" t="s">
        <v>846</v>
      </c>
      <c r="F135" s="391" t="s">
        <v>810</v>
      </c>
      <c r="G135" s="392" t="s">
        <v>802</v>
      </c>
      <c r="H135" s="391" t="s">
        <v>820</v>
      </c>
      <c r="I135">
        <v>134</v>
      </c>
      <c r="J135"/>
    </row>
    <row r="136" spans="1:10" s="266" customFormat="1">
      <c r="A136" s="303" t="s">
        <v>1675</v>
      </c>
      <c r="B136" s="390" t="s">
        <v>1274</v>
      </c>
      <c r="C136" s="391" t="s">
        <v>843</v>
      </c>
      <c r="D136" s="391" t="s">
        <v>1213</v>
      </c>
      <c r="E136" s="391" t="s">
        <v>847</v>
      </c>
      <c r="F136" s="391" t="s">
        <v>811</v>
      </c>
      <c r="G136" s="392" t="s">
        <v>803</v>
      </c>
      <c r="H136" s="391" t="s">
        <v>821</v>
      </c>
      <c r="I136">
        <v>135</v>
      </c>
      <c r="J136"/>
    </row>
    <row r="137" spans="1:10" s="266" customFormat="1">
      <c r="A137" s="303" t="s">
        <v>1676</v>
      </c>
      <c r="B137" s="390" t="s">
        <v>1490</v>
      </c>
      <c r="C137" s="391" t="s">
        <v>1496</v>
      </c>
      <c r="D137" s="391" t="s">
        <v>1491</v>
      </c>
      <c r="E137" s="391" t="s">
        <v>1492</v>
      </c>
      <c r="F137" s="391" t="s">
        <v>1493</v>
      </c>
      <c r="G137" s="391" t="s">
        <v>1494</v>
      </c>
      <c r="H137" s="304" t="s">
        <v>1495</v>
      </c>
      <c r="I137">
        <v>136</v>
      </c>
      <c r="J137"/>
    </row>
    <row r="138" spans="1:10" s="266" customFormat="1">
      <c r="A138" s="303" t="s">
        <v>1677</v>
      </c>
      <c r="B138" s="390" t="s">
        <v>1214</v>
      </c>
      <c r="C138" s="391" t="s">
        <v>834</v>
      </c>
      <c r="D138" s="391" t="s">
        <v>1215</v>
      </c>
      <c r="E138" s="391" t="s">
        <v>848</v>
      </c>
      <c r="F138" s="391" t="s">
        <v>812</v>
      </c>
      <c r="G138" s="392" t="s">
        <v>804</v>
      </c>
      <c r="H138" s="391" t="s">
        <v>822</v>
      </c>
      <c r="I138">
        <v>137</v>
      </c>
      <c r="J138"/>
    </row>
    <row r="139" spans="1:10" s="266" customFormat="1">
      <c r="A139" s="303" t="s">
        <v>1678</v>
      </c>
      <c r="B139" s="390" t="s">
        <v>1216</v>
      </c>
      <c r="C139" s="391" t="s">
        <v>835</v>
      </c>
      <c r="D139" s="391" t="s">
        <v>1217</v>
      </c>
      <c r="E139" s="391" t="s">
        <v>849</v>
      </c>
      <c r="F139" s="391" t="s">
        <v>813</v>
      </c>
      <c r="G139" s="392" t="s">
        <v>805</v>
      </c>
      <c r="H139" s="391" t="s">
        <v>823</v>
      </c>
      <c r="I139">
        <v>138</v>
      </c>
      <c r="J139"/>
    </row>
    <row r="140" spans="1:10" s="266" customFormat="1">
      <c r="A140" s="303" t="s">
        <v>1679</v>
      </c>
      <c r="B140" s="390" t="s">
        <v>1218</v>
      </c>
      <c r="C140" s="391" t="s">
        <v>844</v>
      </c>
      <c r="D140" s="391" t="s">
        <v>1219</v>
      </c>
      <c r="E140" s="391" t="s">
        <v>850</v>
      </c>
      <c r="F140" s="391" t="s">
        <v>814</v>
      </c>
      <c r="G140" s="392" t="s">
        <v>806</v>
      </c>
      <c r="H140" s="391" t="s">
        <v>824</v>
      </c>
      <c r="I140">
        <v>139</v>
      </c>
      <c r="J140"/>
    </row>
    <row r="141" spans="1:10" s="266" customFormat="1">
      <c r="A141" s="112" t="s">
        <v>313</v>
      </c>
      <c r="B141" s="280" t="s">
        <v>679</v>
      </c>
      <c r="C141" s="273" t="s">
        <v>680</v>
      </c>
      <c r="D141" s="273" t="s">
        <v>681</v>
      </c>
      <c r="E141" s="278" t="s">
        <v>682</v>
      </c>
      <c r="F141" s="278" t="s">
        <v>683</v>
      </c>
      <c r="G141" s="275" t="s">
        <v>314</v>
      </c>
      <c r="H141" s="273" t="s">
        <v>684</v>
      </c>
      <c r="I141">
        <v>140</v>
      </c>
      <c r="J141"/>
    </row>
    <row r="142" spans="1:10" s="266" customFormat="1" ht="26.4">
      <c r="A142" s="112" t="s">
        <v>701</v>
      </c>
      <c r="B142" s="280" t="s">
        <v>956</v>
      </c>
      <c r="C142" s="280" t="s">
        <v>956</v>
      </c>
      <c r="D142" s="280" t="s">
        <v>957</v>
      </c>
      <c r="E142" s="280" t="s">
        <v>958</v>
      </c>
      <c r="F142" s="280" t="s">
        <v>959</v>
      </c>
      <c r="G142" s="318" t="s">
        <v>943</v>
      </c>
      <c r="H142" s="280" t="s">
        <v>378</v>
      </c>
      <c r="I142">
        <v>141</v>
      </c>
      <c r="J142"/>
    </row>
    <row r="143" spans="1:10">
      <c r="A143" s="139" t="s">
        <v>285</v>
      </c>
      <c r="B143" s="140"/>
      <c r="C143" s="140"/>
      <c r="D143" s="140"/>
      <c r="E143" s="140"/>
      <c r="F143" s="164"/>
      <c r="G143" s="164"/>
      <c r="H143" s="164"/>
      <c r="I143">
        <v>142</v>
      </c>
    </row>
    <row r="144" spans="1:10" ht="39.6">
      <c r="A144" s="95" t="s">
        <v>233</v>
      </c>
      <c r="B144" s="94" t="s">
        <v>42</v>
      </c>
      <c r="C144" s="94" t="s">
        <v>1337</v>
      </c>
      <c r="D144" s="94" t="s">
        <v>0</v>
      </c>
      <c r="E144" s="94" t="s">
        <v>1233</v>
      </c>
      <c r="F144" s="165" t="s">
        <v>604</v>
      </c>
      <c r="G144" s="94" t="s">
        <v>981</v>
      </c>
      <c r="H144" s="165" t="s">
        <v>482</v>
      </c>
      <c r="I144">
        <v>143</v>
      </c>
    </row>
    <row r="145" spans="1:9">
      <c r="A145" s="139" t="s">
        <v>1415</v>
      </c>
      <c r="B145" s="140"/>
      <c r="C145" s="140"/>
      <c r="D145" s="140"/>
      <c r="E145" s="140"/>
      <c r="F145" s="164"/>
      <c r="G145" s="164"/>
      <c r="H145" s="164"/>
      <c r="I145">
        <v>144</v>
      </c>
    </row>
    <row r="146" spans="1:9">
      <c r="A146" s="112" t="s">
        <v>1413</v>
      </c>
      <c r="B146" s="333" t="s">
        <v>1449</v>
      </c>
      <c r="C146" s="330" t="s">
        <v>1449</v>
      </c>
      <c r="D146" s="333" t="s">
        <v>1450</v>
      </c>
      <c r="E146" s="333" t="s">
        <v>1451</v>
      </c>
      <c r="F146" s="333" t="s">
        <v>1452</v>
      </c>
      <c r="G146" s="333" t="s">
        <v>1453</v>
      </c>
      <c r="H146" s="330" t="s">
        <v>1449</v>
      </c>
      <c r="I146">
        <v>145</v>
      </c>
    </row>
    <row r="147" spans="1:9">
      <c r="A147" s="17" t="s">
        <v>1416</v>
      </c>
      <c r="B147" s="334" t="s">
        <v>1420</v>
      </c>
      <c r="C147" s="331" t="s">
        <v>1420</v>
      </c>
      <c r="D147" s="334" t="s">
        <v>1414</v>
      </c>
      <c r="E147" s="334" t="s">
        <v>1431</v>
      </c>
      <c r="F147" s="334" t="s">
        <v>1458</v>
      </c>
      <c r="G147" s="335" t="s">
        <v>1435</v>
      </c>
      <c r="H147" s="331" t="s">
        <v>1420</v>
      </c>
      <c r="I147">
        <v>146</v>
      </c>
    </row>
    <row r="148" spans="1:9">
      <c r="A148" s="17" t="s">
        <v>1417</v>
      </c>
      <c r="B148" s="334" t="s">
        <v>1421</v>
      </c>
      <c r="C148" s="331" t="s">
        <v>1421</v>
      </c>
      <c r="D148" s="334" t="s">
        <v>1418</v>
      </c>
      <c r="E148" s="335" t="s">
        <v>1432</v>
      </c>
      <c r="F148" s="334" t="s">
        <v>1459</v>
      </c>
      <c r="G148" s="334" t="s">
        <v>1436</v>
      </c>
      <c r="H148" s="331" t="s">
        <v>1421</v>
      </c>
      <c r="I148">
        <v>147</v>
      </c>
    </row>
    <row r="149" spans="1:9">
      <c r="A149" s="17" t="s">
        <v>1419</v>
      </c>
      <c r="B149" s="334" t="s">
        <v>1422</v>
      </c>
      <c r="C149" s="331" t="s">
        <v>1422</v>
      </c>
      <c r="D149" s="334" t="s">
        <v>1423</v>
      </c>
      <c r="E149" s="334" t="s">
        <v>1422</v>
      </c>
      <c r="F149" s="335" t="s">
        <v>1460</v>
      </c>
      <c r="G149" s="334" t="s">
        <v>1437</v>
      </c>
      <c r="H149" s="331" t="s">
        <v>1422</v>
      </c>
      <c r="I149">
        <v>148</v>
      </c>
    </row>
    <row r="150" spans="1:9" ht="26.4">
      <c r="A150" s="17" t="s">
        <v>1428</v>
      </c>
      <c r="B150" s="335" t="s">
        <v>1427</v>
      </c>
      <c r="C150" s="332" t="s">
        <v>1427</v>
      </c>
      <c r="D150" s="335" t="s">
        <v>1442</v>
      </c>
      <c r="E150" s="335" t="s">
        <v>1434</v>
      </c>
      <c r="F150" s="337" t="s">
        <v>1461</v>
      </c>
      <c r="G150" s="335" t="s">
        <v>1438</v>
      </c>
      <c r="H150" s="332" t="s">
        <v>1427</v>
      </c>
      <c r="I150">
        <v>149</v>
      </c>
    </row>
    <row r="151" spans="1:9">
      <c r="A151" s="17" t="s">
        <v>1429</v>
      </c>
      <c r="B151" s="335" t="s">
        <v>1424</v>
      </c>
      <c r="C151" s="332" t="s">
        <v>1424</v>
      </c>
      <c r="D151" s="335" t="s">
        <v>1430</v>
      </c>
      <c r="E151" s="335" t="s">
        <v>1433</v>
      </c>
      <c r="F151" s="335" t="s">
        <v>1462</v>
      </c>
      <c r="G151" s="335" t="s">
        <v>1439</v>
      </c>
      <c r="H151" s="332" t="s">
        <v>1424</v>
      </c>
      <c r="I151">
        <v>150</v>
      </c>
    </row>
    <row r="152" spans="1:9" ht="79.2">
      <c r="A152" s="17" t="s">
        <v>1440</v>
      </c>
      <c r="B152" s="337" t="s">
        <v>1441</v>
      </c>
      <c r="C152" s="336" t="s">
        <v>1441</v>
      </c>
      <c r="D152" s="337" t="s">
        <v>1445</v>
      </c>
      <c r="E152" s="337" t="s">
        <v>1443</v>
      </c>
      <c r="F152" s="337" t="s">
        <v>1463</v>
      </c>
      <c r="G152" s="337" t="s">
        <v>1444</v>
      </c>
      <c r="H152" s="336" t="s">
        <v>1441</v>
      </c>
      <c r="I152">
        <v>151</v>
      </c>
    </row>
    <row r="153" spans="1:9">
      <c r="A153" s="139" t="s">
        <v>334</v>
      </c>
      <c r="B153" s="140"/>
      <c r="C153" s="140"/>
      <c r="D153" s="140"/>
      <c r="E153" s="140"/>
      <c r="F153" s="164"/>
      <c r="G153" s="164"/>
      <c r="H153" s="164"/>
      <c r="I153">
        <v>152</v>
      </c>
    </row>
    <row r="154" spans="1:9">
      <c r="A154" s="17" t="s">
        <v>335</v>
      </c>
      <c r="B154" s="117" t="s">
        <v>336</v>
      </c>
      <c r="C154" s="117" t="s">
        <v>1338</v>
      </c>
      <c r="D154" s="117" t="s">
        <v>337</v>
      </c>
      <c r="E154" s="94" t="s">
        <v>1234</v>
      </c>
      <c r="F154" s="165" t="s">
        <v>609</v>
      </c>
      <c r="G154" s="117" t="s">
        <v>771</v>
      </c>
      <c r="H154" s="165" t="s">
        <v>478</v>
      </c>
      <c r="I154">
        <v>153</v>
      </c>
    </row>
    <row r="155" spans="1:9">
      <c r="A155" s="17" t="s">
        <v>338</v>
      </c>
      <c r="B155" s="117" t="s">
        <v>339</v>
      </c>
      <c r="C155" s="117" t="s">
        <v>1339</v>
      </c>
      <c r="D155" s="117" t="s">
        <v>340</v>
      </c>
      <c r="E155" s="94" t="s">
        <v>1235</v>
      </c>
      <c r="F155" s="165" t="s">
        <v>610</v>
      </c>
      <c r="G155" s="117" t="s">
        <v>982</v>
      </c>
      <c r="H155" s="165" t="s">
        <v>340</v>
      </c>
      <c r="I155">
        <v>154</v>
      </c>
    </row>
    <row r="156" spans="1:9">
      <c r="A156" s="17" t="s">
        <v>341</v>
      </c>
      <c r="B156" s="117" t="s">
        <v>342</v>
      </c>
      <c r="C156" s="117" t="s">
        <v>1340</v>
      </c>
      <c r="D156" s="117" t="s">
        <v>343</v>
      </c>
      <c r="E156" s="94" t="s">
        <v>979</v>
      </c>
      <c r="F156" s="165" t="s">
        <v>342</v>
      </c>
      <c r="G156" s="117" t="s">
        <v>979</v>
      </c>
      <c r="H156" s="165" t="s">
        <v>342</v>
      </c>
      <c r="I156">
        <v>155</v>
      </c>
    </row>
    <row r="157" spans="1:9">
      <c r="A157" s="17" t="s">
        <v>344</v>
      </c>
      <c r="B157" s="117" t="s">
        <v>37</v>
      </c>
      <c r="C157" s="117" t="s">
        <v>1314</v>
      </c>
      <c r="D157" s="117" t="s">
        <v>37</v>
      </c>
      <c r="E157" s="94" t="s">
        <v>1191</v>
      </c>
      <c r="F157" s="165" t="s">
        <v>592</v>
      </c>
      <c r="G157" s="117" t="s">
        <v>874</v>
      </c>
      <c r="H157" s="165" t="s">
        <v>418</v>
      </c>
      <c r="I157">
        <v>156</v>
      </c>
    </row>
    <row r="158" spans="1:9">
      <c r="A158" s="17" t="s">
        <v>345</v>
      </c>
      <c r="B158" s="117" t="s">
        <v>72</v>
      </c>
      <c r="C158" s="117" t="s">
        <v>1341</v>
      </c>
      <c r="D158" s="117" t="s">
        <v>346</v>
      </c>
      <c r="E158" s="94" t="s">
        <v>1236</v>
      </c>
      <c r="F158" s="165" t="s">
        <v>611</v>
      </c>
      <c r="G158" s="117" t="s">
        <v>980</v>
      </c>
      <c r="H158" s="165" t="s">
        <v>479</v>
      </c>
      <c r="I158">
        <v>157</v>
      </c>
    </row>
    <row r="159" spans="1:9" ht="39.6">
      <c r="A159" s="17" t="s">
        <v>347</v>
      </c>
      <c r="B159" s="117" t="s">
        <v>379</v>
      </c>
      <c r="C159" s="117" t="s">
        <v>1342</v>
      </c>
      <c r="D159" s="117" t="s">
        <v>348</v>
      </c>
      <c r="E159" s="94" t="s">
        <v>1237</v>
      </c>
      <c r="F159" s="165" t="s">
        <v>612</v>
      </c>
      <c r="G159" s="117" t="s">
        <v>993</v>
      </c>
      <c r="H159" s="165" t="s">
        <v>480</v>
      </c>
      <c r="I159">
        <v>158</v>
      </c>
    </row>
    <row r="160" spans="1:9" ht="66">
      <c r="A160" s="17" t="s">
        <v>349</v>
      </c>
      <c r="B160" s="117" t="s">
        <v>1471</v>
      </c>
      <c r="C160" s="117" t="s">
        <v>1343</v>
      </c>
      <c r="D160" s="117" t="s">
        <v>1472</v>
      </c>
      <c r="E160" s="94" t="s">
        <v>1238</v>
      </c>
      <c r="F160" s="165" t="s">
        <v>613</v>
      </c>
      <c r="G160" s="117" t="s">
        <v>997</v>
      </c>
      <c r="H160" s="165" t="s">
        <v>1473</v>
      </c>
      <c r="I160">
        <v>159</v>
      </c>
    </row>
    <row r="161" spans="1:9">
      <c r="A161" s="17" t="s">
        <v>617</v>
      </c>
      <c r="B161" s="117" t="s">
        <v>624</v>
      </c>
      <c r="C161" s="117" t="s">
        <v>166</v>
      </c>
      <c r="D161" s="117" t="s">
        <v>633</v>
      </c>
      <c r="E161" s="117" t="s">
        <v>1062</v>
      </c>
      <c r="F161" s="117" t="s">
        <v>540</v>
      </c>
      <c r="G161" s="117" t="s">
        <v>1201</v>
      </c>
      <c r="H161" s="117" t="s">
        <v>1171</v>
      </c>
      <c r="I161">
        <v>160</v>
      </c>
    </row>
    <row r="162" spans="1:9" ht="26.4">
      <c r="A162" s="17" t="s">
        <v>618</v>
      </c>
      <c r="B162" s="117" t="s">
        <v>1474</v>
      </c>
      <c r="C162" s="117" t="s">
        <v>167</v>
      </c>
      <c r="D162" s="117" t="s">
        <v>1475</v>
      </c>
      <c r="E162" s="117" t="s">
        <v>1063</v>
      </c>
      <c r="F162" s="117" t="s">
        <v>543</v>
      </c>
      <c r="G162" s="117" t="s">
        <v>533</v>
      </c>
      <c r="H162" s="117" t="s">
        <v>1476</v>
      </c>
      <c r="I162">
        <v>161</v>
      </c>
    </row>
    <row r="163" spans="1:9" ht="26.4">
      <c r="A163" s="17" t="s">
        <v>623</v>
      </c>
      <c r="B163" s="117" t="s">
        <v>632</v>
      </c>
      <c r="C163" s="117" t="s">
        <v>173</v>
      </c>
      <c r="D163" s="117" t="s">
        <v>892</v>
      </c>
      <c r="E163" s="117" t="s">
        <v>1064</v>
      </c>
      <c r="F163" s="117" t="s">
        <v>544</v>
      </c>
      <c r="G163" s="117" t="s">
        <v>534</v>
      </c>
      <c r="H163" s="117" t="s">
        <v>1172</v>
      </c>
      <c r="I163">
        <v>162</v>
      </c>
    </row>
    <row r="164" spans="1:9">
      <c r="A164" s="17" t="s">
        <v>628</v>
      </c>
      <c r="B164" s="117" t="s">
        <v>625</v>
      </c>
      <c r="C164" s="117" t="s">
        <v>168</v>
      </c>
      <c r="D164" s="117" t="s">
        <v>893</v>
      </c>
      <c r="E164" s="117" t="s">
        <v>1065</v>
      </c>
      <c r="F164" s="117" t="s">
        <v>545</v>
      </c>
      <c r="G164" s="117" t="s">
        <v>535</v>
      </c>
      <c r="H164" s="117" t="s">
        <v>1173</v>
      </c>
      <c r="I164">
        <v>163</v>
      </c>
    </row>
    <row r="165" spans="1:9">
      <c r="A165" s="17" t="s">
        <v>629</v>
      </c>
      <c r="B165" s="117" t="s">
        <v>622</v>
      </c>
      <c r="C165" s="117" t="s">
        <v>169</v>
      </c>
      <c r="D165" s="117" t="s">
        <v>634</v>
      </c>
      <c r="E165" s="117" t="s">
        <v>1066</v>
      </c>
      <c r="F165" s="117" t="s">
        <v>546</v>
      </c>
      <c r="G165" s="117" t="s">
        <v>536</v>
      </c>
      <c r="H165" s="117" t="s">
        <v>1174</v>
      </c>
      <c r="I165">
        <v>164</v>
      </c>
    </row>
    <row r="166" spans="1:9" ht="39.6">
      <c r="A166" s="17" t="s">
        <v>630</v>
      </c>
      <c r="B166" s="117" t="s">
        <v>627</v>
      </c>
      <c r="C166" s="117" t="s">
        <v>170</v>
      </c>
      <c r="D166" s="117" t="s">
        <v>1401</v>
      </c>
      <c r="E166" s="117" t="s">
        <v>1067</v>
      </c>
      <c r="F166" s="117" t="s">
        <v>547</v>
      </c>
      <c r="G166" s="117" t="s">
        <v>537</v>
      </c>
      <c r="H166" s="117" t="s">
        <v>1175</v>
      </c>
      <c r="I166">
        <v>165</v>
      </c>
    </row>
    <row r="167" spans="1:9" ht="26.4">
      <c r="A167" s="17" t="s">
        <v>1402</v>
      </c>
      <c r="B167" s="117" t="s">
        <v>626</v>
      </c>
      <c r="C167" s="117" t="s">
        <v>171</v>
      </c>
      <c r="D167" s="117" t="s">
        <v>636</v>
      </c>
      <c r="E167" s="117" t="s">
        <v>1068</v>
      </c>
      <c r="F167" s="117" t="s">
        <v>548</v>
      </c>
      <c r="G167" s="117" t="s">
        <v>538</v>
      </c>
      <c r="H167" s="117" t="s">
        <v>1176</v>
      </c>
      <c r="I167">
        <v>166</v>
      </c>
    </row>
    <row r="168" spans="1:9" ht="26.4">
      <c r="A168" s="17" t="s">
        <v>621</v>
      </c>
      <c r="B168" s="117" t="s">
        <v>631</v>
      </c>
      <c r="C168" s="329" t="s">
        <v>172</v>
      </c>
      <c r="D168" s="117" t="s">
        <v>635</v>
      </c>
      <c r="E168" s="117" t="s">
        <v>619</v>
      </c>
      <c r="F168" s="117" t="s">
        <v>620</v>
      </c>
      <c r="G168" s="117" t="s">
        <v>539</v>
      </c>
      <c r="H168" s="329" t="s">
        <v>1177</v>
      </c>
      <c r="I168">
        <v>167</v>
      </c>
    </row>
    <row r="169" spans="1:9" ht="39.6">
      <c r="A169" s="95" t="s">
        <v>234</v>
      </c>
      <c r="B169" s="94" t="s">
        <v>235</v>
      </c>
      <c r="C169" s="94" t="s">
        <v>1344</v>
      </c>
      <c r="D169" s="94" t="s">
        <v>236</v>
      </c>
      <c r="E169" s="94" t="s">
        <v>1239</v>
      </c>
      <c r="F169" s="165" t="s">
        <v>614</v>
      </c>
      <c r="G169" s="94" t="s">
        <v>991</v>
      </c>
      <c r="H169" s="165" t="s">
        <v>483</v>
      </c>
      <c r="I169">
        <v>168</v>
      </c>
    </row>
    <row r="170" spans="1:9" ht="39.6">
      <c r="A170" s="95" t="s">
        <v>237</v>
      </c>
      <c r="B170" s="94" t="s">
        <v>238</v>
      </c>
      <c r="C170" s="94" t="s">
        <v>1345</v>
      </c>
      <c r="D170" s="94" t="s">
        <v>239</v>
      </c>
      <c r="E170" s="94" t="s">
        <v>1240</v>
      </c>
      <c r="F170" s="165" t="s">
        <v>615</v>
      </c>
      <c r="G170" s="94" t="s">
        <v>987</v>
      </c>
      <c r="H170" s="165" t="s">
        <v>498</v>
      </c>
      <c r="I170">
        <v>169</v>
      </c>
    </row>
    <row r="171" spans="1:9" ht="52.8">
      <c r="A171" s="95" t="s">
        <v>240</v>
      </c>
      <c r="B171" s="94" t="s">
        <v>241</v>
      </c>
      <c r="C171" s="94" t="s">
        <v>1346</v>
      </c>
      <c r="D171" s="94" t="s">
        <v>249</v>
      </c>
      <c r="E171" s="94" t="s">
        <v>1241</v>
      </c>
      <c r="F171" s="165" t="s">
        <v>645</v>
      </c>
      <c r="G171" s="94" t="s">
        <v>992</v>
      </c>
      <c r="H171" s="165" t="s">
        <v>499</v>
      </c>
      <c r="I171">
        <v>170</v>
      </c>
    </row>
    <row r="172" spans="1:9" ht="26.4">
      <c r="A172" s="95" t="s">
        <v>250</v>
      </c>
      <c r="B172" s="94" t="s">
        <v>251</v>
      </c>
      <c r="C172" s="94" t="s">
        <v>1347</v>
      </c>
      <c r="D172" s="94" t="s">
        <v>252</v>
      </c>
      <c r="E172" s="94" t="s">
        <v>1242</v>
      </c>
      <c r="F172" s="165" t="s">
        <v>646</v>
      </c>
      <c r="G172" s="94" t="s">
        <v>986</v>
      </c>
      <c r="H172" s="165" t="s">
        <v>485</v>
      </c>
      <c r="I172">
        <v>171</v>
      </c>
    </row>
    <row r="173" spans="1:9" ht="26.4">
      <c r="A173" s="95" t="s">
        <v>253</v>
      </c>
      <c r="B173" s="94" t="s">
        <v>254</v>
      </c>
      <c r="C173" s="94" t="s">
        <v>1348</v>
      </c>
      <c r="D173" s="94" t="s">
        <v>255</v>
      </c>
      <c r="E173" s="94" t="s">
        <v>1243</v>
      </c>
      <c r="F173" s="165" t="s">
        <v>647</v>
      </c>
      <c r="G173" s="94" t="s">
        <v>988</v>
      </c>
      <c r="H173" s="165" t="s">
        <v>484</v>
      </c>
      <c r="I173">
        <v>172</v>
      </c>
    </row>
    <row r="174" spans="1:9" ht="39.6">
      <c r="A174" s="95" t="s">
        <v>256</v>
      </c>
      <c r="B174" s="94" t="s">
        <v>257</v>
      </c>
      <c r="C174" s="94" t="s">
        <v>1349</v>
      </c>
      <c r="D174" s="94" t="s">
        <v>258</v>
      </c>
      <c r="E174" s="94" t="s">
        <v>1244</v>
      </c>
      <c r="F174" s="165" t="s">
        <v>648</v>
      </c>
      <c r="G174" s="94" t="s">
        <v>989</v>
      </c>
      <c r="H174" s="165" t="s">
        <v>486</v>
      </c>
      <c r="I174">
        <v>173</v>
      </c>
    </row>
    <row r="175" spans="1:9" ht="52.8">
      <c r="A175" s="95" t="s">
        <v>259</v>
      </c>
      <c r="B175" s="94" t="s">
        <v>507</v>
      </c>
      <c r="C175" s="94" t="s">
        <v>1350</v>
      </c>
      <c r="D175" s="94" t="s">
        <v>288</v>
      </c>
      <c r="E175" s="94" t="s">
        <v>1245</v>
      </c>
      <c r="F175" s="165" t="s">
        <v>649</v>
      </c>
      <c r="G175" s="94" t="s">
        <v>990</v>
      </c>
      <c r="H175" s="165" t="s">
        <v>487</v>
      </c>
      <c r="I175">
        <v>174</v>
      </c>
    </row>
    <row r="176" spans="1:9" ht="52.8">
      <c r="A176" s="95" t="s">
        <v>260</v>
      </c>
      <c r="B176" s="94" t="s">
        <v>508</v>
      </c>
      <c r="C176" s="94" t="s">
        <v>1351</v>
      </c>
      <c r="D176" s="94" t="s">
        <v>289</v>
      </c>
      <c r="E176" s="94" t="s">
        <v>1256</v>
      </c>
      <c r="F176" s="165" t="s">
        <v>650</v>
      </c>
      <c r="G176" s="94" t="s">
        <v>1002</v>
      </c>
      <c r="H176" s="165" t="s">
        <v>506</v>
      </c>
      <c r="I176">
        <v>175</v>
      </c>
    </row>
    <row r="177" spans="1:9" ht="66">
      <c r="A177" s="95" t="s">
        <v>263</v>
      </c>
      <c r="B177" s="94" t="s">
        <v>291</v>
      </c>
      <c r="C177" s="94" t="s">
        <v>1362</v>
      </c>
      <c r="D177" s="94" t="s">
        <v>290</v>
      </c>
      <c r="E177" s="94" t="s">
        <v>1257</v>
      </c>
      <c r="F177" s="165" t="s">
        <v>651</v>
      </c>
      <c r="G177" s="94" t="s">
        <v>1003</v>
      </c>
      <c r="H177" s="165" t="s">
        <v>500</v>
      </c>
      <c r="I177">
        <v>176</v>
      </c>
    </row>
    <row r="178" spans="1:9" ht="39.6">
      <c r="A178" s="95" t="s">
        <v>266</v>
      </c>
      <c r="B178" s="94" t="s">
        <v>261</v>
      </c>
      <c r="C178" s="94" t="s">
        <v>1363</v>
      </c>
      <c r="D178" s="94" t="s">
        <v>262</v>
      </c>
      <c r="E178" s="94" t="s">
        <v>1246</v>
      </c>
      <c r="F178" s="165" t="s">
        <v>652</v>
      </c>
      <c r="G178" s="94" t="s">
        <v>994</v>
      </c>
      <c r="H178" s="165" t="s">
        <v>488</v>
      </c>
      <c r="I178">
        <v>177</v>
      </c>
    </row>
    <row r="179" spans="1:9" ht="26.4">
      <c r="A179" s="95" t="s">
        <v>269</v>
      </c>
      <c r="B179" s="94" t="s">
        <v>264</v>
      </c>
      <c r="C179" s="94" t="s">
        <v>1364</v>
      </c>
      <c r="D179" s="94" t="s">
        <v>265</v>
      </c>
      <c r="E179" s="94" t="s">
        <v>1247</v>
      </c>
      <c r="F179" s="165" t="s">
        <v>653</v>
      </c>
      <c r="G179" s="94" t="s">
        <v>995</v>
      </c>
      <c r="H179" s="165" t="s">
        <v>489</v>
      </c>
      <c r="I179">
        <v>178</v>
      </c>
    </row>
    <row r="180" spans="1:9" ht="26.4">
      <c r="A180" s="95" t="s">
        <v>270</v>
      </c>
      <c r="B180" s="94" t="s">
        <v>267</v>
      </c>
      <c r="C180" s="94" t="s">
        <v>1365</v>
      </c>
      <c r="D180" s="94" t="s">
        <v>268</v>
      </c>
      <c r="E180" s="94" t="s">
        <v>1248</v>
      </c>
      <c r="F180" s="165" t="s">
        <v>654</v>
      </c>
      <c r="G180" s="94" t="s">
        <v>996</v>
      </c>
      <c r="H180" s="165" t="s">
        <v>490</v>
      </c>
      <c r="I180">
        <v>179</v>
      </c>
    </row>
    <row r="181" spans="1:9" ht="39.6">
      <c r="A181" s="95" t="s">
        <v>273</v>
      </c>
      <c r="B181" s="94" t="s">
        <v>293</v>
      </c>
      <c r="C181" s="94" t="s">
        <v>1366</v>
      </c>
      <c r="D181" s="94" t="s">
        <v>292</v>
      </c>
      <c r="E181" s="94" t="s">
        <v>1249</v>
      </c>
      <c r="F181" s="165" t="s">
        <v>715</v>
      </c>
      <c r="G181" s="94" t="s">
        <v>772</v>
      </c>
      <c r="H181" s="165" t="s">
        <v>501</v>
      </c>
      <c r="I181">
        <v>180</v>
      </c>
    </row>
    <row r="182" spans="1:9" ht="39.6">
      <c r="A182" s="95" t="s">
        <v>276</v>
      </c>
      <c r="B182" s="94" t="s">
        <v>294</v>
      </c>
      <c r="C182" s="94" t="s">
        <v>1367</v>
      </c>
      <c r="D182" s="94" t="s">
        <v>272</v>
      </c>
      <c r="E182" s="94" t="s">
        <v>1250</v>
      </c>
      <c r="F182" s="165" t="s">
        <v>716</v>
      </c>
      <c r="G182" s="94" t="s">
        <v>999</v>
      </c>
      <c r="H182" s="165" t="s">
        <v>491</v>
      </c>
      <c r="I182">
        <v>181</v>
      </c>
    </row>
    <row r="183" spans="1:9" ht="52.8">
      <c r="A183" s="95" t="s">
        <v>280</v>
      </c>
      <c r="B183" s="94" t="s">
        <v>274</v>
      </c>
      <c r="C183" s="94" t="s">
        <v>1368</v>
      </c>
      <c r="D183" s="94" t="s">
        <v>275</v>
      </c>
      <c r="E183" s="94" t="s">
        <v>1251</v>
      </c>
      <c r="F183" s="165" t="s">
        <v>717</v>
      </c>
      <c r="G183" s="94" t="s">
        <v>998</v>
      </c>
      <c r="H183" s="165" t="s">
        <v>492</v>
      </c>
      <c r="I183">
        <v>182</v>
      </c>
    </row>
    <row r="184" spans="1:9" ht="39.6">
      <c r="A184" s="95" t="s">
        <v>283</v>
      </c>
      <c r="B184" s="94" t="s">
        <v>277</v>
      </c>
      <c r="C184" s="94" t="s">
        <v>1369</v>
      </c>
      <c r="D184" s="94" t="s">
        <v>279</v>
      </c>
      <c r="E184" s="94" t="s">
        <v>1252</v>
      </c>
      <c r="F184" s="165" t="s">
        <v>718</v>
      </c>
      <c r="G184" s="94" t="s">
        <v>1000</v>
      </c>
      <c r="H184" s="165" t="s">
        <v>493</v>
      </c>
      <c r="I184">
        <v>183</v>
      </c>
    </row>
    <row r="185" spans="1:9" ht="39.6">
      <c r="A185" s="95" t="s">
        <v>286</v>
      </c>
      <c r="B185" s="94" t="s">
        <v>281</v>
      </c>
      <c r="C185" s="94" t="s">
        <v>1370</v>
      </c>
      <c r="D185" s="94" t="s">
        <v>282</v>
      </c>
      <c r="E185" s="94" t="s">
        <v>1253</v>
      </c>
      <c r="F185" s="165" t="s">
        <v>719</v>
      </c>
      <c r="G185" s="94" t="s">
        <v>766</v>
      </c>
      <c r="H185" s="165" t="s">
        <v>494</v>
      </c>
      <c r="I185">
        <v>184</v>
      </c>
    </row>
    <row r="186" spans="1:9" ht="52.8">
      <c r="A186" s="95" t="s">
        <v>287</v>
      </c>
      <c r="B186" s="94" t="s">
        <v>284</v>
      </c>
      <c r="C186" s="94" t="s">
        <v>1371</v>
      </c>
      <c r="D186" s="94" t="s">
        <v>306</v>
      </c>
      <c r="E186" s="94" t="s">
        <v>1254</v>
      </c>
      <c r="F186" s="165" t="s">
        <v>720</v>
      </c>
      <c r="G186" s="94" t="s">
        <v>767</v>
      </c>
      <c r="H186" s="165" t="s">
        <v>502</v>
      </c>
      <c r="I186">
        <v>185</v>
      </c>
    </row>
    <row r="187" spans="1:9" ht="26.4">
      <c r="A187" s="95" t="s">
        <v>296</v>
      </c>
      <c r="B187" s="117" t="s">
        <v>307</v>
      </c>
      <c r="C187" s="117" t="s">
        <v>1372</v>
      </c>
      <c r="D187" s="117" t="s">
        <v>295</v>
      </c>
      <c r="E187" s="94" t="s">
        <v>1255</v>
      </c>
      <c r="F187" s="165" t="s">
        <v>721</v>
      </c>
      <c r="G187" s="117" t="s">
        <v>1001</v>
      </c>
      <c r="H187" s="165" t="s">
        <v>495</v>
      </c>
      <c r="I187">
        <v>186</v>
      </c>
    </row>
    <row r="188" spans="1:9">
      <c r="A188" s="95" t="s">
        <v>1479</v>
      </c>
      <c r="B188" s="117" t="s">
        <v>1478</v>
      </c>
      <c r="C188" s="117" t="s">
        <v>1478</v>
      </c>
      <c r="D188" s="117" t="s">
        <v>1478</v>
      </c>
      <c r="E188" s="117" t="s">
        <v>1478</v>
      </c>
      <c r="F188" s="117" t="s">
        <v>1478</v>
      </c>
      <c r="G188" s="117" t="s">
        <v>1478</v>
      </c>
      <c r="H188" s="117" t="s">
        <v>1478</v>
      </c>
      <c r="I188">
        <v>187</v>
      </c>
    </row>
    <row r="189" spans="1:9" ht="26.4">
      <c r="A189" s="112" t="s">
        <v>1480</v>
      </c>
      <c r="B189" s="117" t="s">
        <v>1481</v>
      </c>
      <c r="C189" s="117" t="s">
        <v>1481</v>
      </c>
      <c r="D189" s="117" t="s">
        <v>1481</v>
      </c>
      <c r="E189" s="117" t="s">
        <v>1481</v>
      </c>
      <c r="F189" s="117" t="s">
        <v>1481</v>
      </c>
      <c r="G189" s="117" t="s">
        <v>1481</v>
      </c>
      <c r="H189" s="117" t="s">
        <v>1481</v>
      </c>
      <c r="I189">
        <v>188</v>
      </c>
    </row>
    <row r="190" spans="1:9">
      <c r="A190" s="112" t="s">
        <v>1483</v>
      </c>
      <c r="B190" s="117" t="s">
        <v>1482</v>
      </c>
      <c r="C190" s="117" t="s">
        <v>1482</v>
      </c>
      <c r="D190" s="117" t="s">
        <v>1482</v>
      </c>
      <c r="E190" s="117" t="s">
        <v>1482</v>
      </c>
      <c r="F190" s="117" t="s">
        <v>1482</v>
      </c>
      <c r="G190" s="117" t="s">
        <v>1482</v>
      </c>
      <c r="H190" s="117" t="s">
        <v>1482</v>
      </c>
      <c r="I190">
        <v>189</v>
      </c>
    </row>
    <row r="191" spans="1:9">
      <c r="A191" s="112" t="s">
        <v>1525</v>
      </c>
      <c r="B191" s="351" t="s">
        <v>1524</v>
      </c>
      <c r="C191" s="117" t="s">
        <v>1524</v>
      </c>
      <c r="D191" s="117" t="s">
        <v>1524</v>
      </c>
      <c r="E191" s="117" t="s">
        <v>1524</v>
      </c>
      <c r="F191" t="s">
        <v>1524</v>
      </c>
      <c r="G191" t="s">
        <v>1524</v>
      </c>
      <c r="H191" t="s">
        <v>1524</v>
      </c>
      <c r="I191">
        <v>190</v>
      </c>
    </row>
    <row r="192" spans="1:9">
      <c r="A192" s="112" t="s">
        <v>1526</v>
      </c>
      <c r="B192" s="351" t="s">
        <v>1636</v>
      </c>
      <c r="C192" s="351" t="s">
        <v>1637</v>
      </c>
      <c r="D192" s="351" t="s">
        <v>1637</v>
      </c>
      <c r="E192" s="351" t="s">
        <v>1637</v>
      </c>
      <c r="F192" s="161" t="s">
        <v>1637</v>
      </c>
      <c r="G192" s="161" t="s">
        <v>1637</v>
      </c>
      <c r="H192" s="161" t="s">
        <v>1637</v>
      </c>
      <c r="I192">
        <v>191</v>
      </c>
    </row>
    <row r="193" spans="1:9" ht="26.4">
      <c r="A193" s="112" t="s">
        <v>1527</v>
      </c>
      <c r="B193" s="351" t="s">
        <v>1659</v>
      </c>
      <c r="C193" s="351" t="s">
        <v>1659</v>
      </c>
      <c r="D193" s="351" t="s">
        <v>1659</v>
      </c>
      <c r="E193" s="351" t="s">
        <v>1659</v>
      </c>
      <c r="F193" s="161" t="s">
        <v>1659</v>
      </c>
      <c r="G193" s="161" t="s">
        <v>1659</v>
      </c>
      <c r="H193" s="161" t="s">
        <v>1659</v>
      </c>
      <c r="I193">
        <v>192</v>
      </c>
    </row>
    <row r="194" spans="1:9">
      <c r="A194" s="112" t="s">
        <v>1528</v>
      </c>
      <c r="B194" s="351" t="s">
        <v>1660</v>
      </c>
      <c r="C194" s="351" t="s">
        <v>1660</v>
      </c>
      <c r="D194" s="351" t="s">
        <v>1660</v>
      </c>
      <c r="E194" s="351" t="s">
        <v>1660</v>
      </c>
      <c r="F194" s="161" t="s">
        <v>1660</v>
      </c>
      <c r="G194" s="161" t="s">
        <v>1660</v>
      </c>
      <c r="H194" s="161" t="s">
        <v>1660</v>
      </c>
      <c r="I194">
        <v>193</v>
      </c>
    </row>
    <row r="195" spans="1:9">
      <c r="A195" s="112" t="s">
        <v>1529</v>
      </c>
      <c r="B195" s="351" t="s">
        <v>1530</v>
      </c>
      <c r="C195" s="117" t="s">
        <v>1530</v>
      </c>
      <c r="D195" s="117" t="s">
        <v>1530</v>
      </c>
      <c r="E195" s="117" t="s">
        <v>1530</v>
      </c>
      <c r="F195" t="s">
        <v>1530</v>
      </c>
      <c r="G195" t="s">
        <v>1530</v>
      </c>
      <c r="H195" t="s">
        <v>1530</v>
      </c>
    </row>
    <row r="196" spans="1:9" ht="39.6">
      <c r="A196" s="112" t="s">
        <v>1567</v>
      </c>
      <c r="B196" s="375" t="s">
        <v>1568</v>
      </c>
      <c r="C196" s="318" t="s">
        <v>1329</v>
      </c>
      <c r="D196" s="318" t="s">
        <v>390</v>
      </c>
      <c r="E196" s="318" t="s">
        <v>1205</v>
      </c>
      <c r="F196" s="273" t="s">
        <v>603</v>
      </c>
      <c r="G196" s="307" t="s">
        <v>885</v>
      </c>
      <c r="H196" s="273" t="s">
        <v>481</v>
      </c>
      <c r="I196">
        <v>194</v>
      </c>
    </row>
    <row r="197" spans="1:9">
      <c r="A197" s="112" t="s">
        <v>1577</v>
      </c>
      <c r="B197" s="351" t="s">
        <v>1578</v>
      </c>
      <c r="C197" s="117" t="s">
        <v>1580</v>
      </c>
      <c r="D197" s="117" t="s">
        <v>1582</v>
      </c>
      <c r="E197" s="117" t="s">
        <v>1584</v>
      </c>
      <c r="F197" t="s">
        <v>1586</v>
      </c>
      <c r="G197" t="s">
        <v>1588</v>
      </c>
      <c r="H197" t="s">
        <v>1590</v>
      </c>
      <c r="I197">
        <v>195</v>
      </c>
    </row>
    <row r="198" spans="1:9">
      <c r="A198" s="112" t="s">
        <v>1592</v>
      </c>
      <c r="B198" s="351" t="s">
        <v>1579</v>
      </c>
      <c r="C198" s="117" t="s">
        <v>1581</v>
      </c>
      <c r="D198" s="117" t="s">
        <v>1583</v>
      </c>
      <c r="E198" s="117" t="s">
        <v>1585</v>
      </c>
      <c r="F198" t="s">
        <v>1587</v>
      </c>
      <c r="G198" t="s">
        <v>1589</v>
      </c>
      <c r="H198" t="s">
        <v>1591</v>
      </c>
      <c r="I198">
        <v>196</v>
      </c>
    </row>
    <row r="199" spans="1:9">
      <c r="A199" s="112" t="s">
        <v>1594</v>
      </c>
      <c r="B199" s="351" t="s">
        <v>1595</v>
      </c>
      <c r="C199" s="351" t="s">
        <v>1661</v>
      </c>
      <c r="D199" s="351" t="s">
        <v>1662</v>
      </c>
      <c r="E199" s="351" t="s">
        <v>1663</v>
      </c>
      <c r="F199" s="161" t="s">
        <v>1664</v>
      </c>
      <c r="G199" s="161" t="s">
        <v>1665</v>
      </c>
      <c r="H199" s="384" t="s">
        <v>1666</v>
      </c>
      <c r="I199">
        <v>197</v>
      </c>
    </row>
    <row r="200" spans="1:9">
      <c r="A200" s="112" t="s">
        <v>1667</v>
      </c>
      <c r="B200" s="351" t="s">
        <v>1670</v>
      </c>
      <c r="C200" s="351" t="s">
        <v>1670</v>
      </c>
      <c r="D200" s="351" t="s">
        <v>1670</v>
      </c>
      <c r="E200" s="351" t="s">
        <v>1670</v>
      </c>
      <c r="F200" s="351" t="s">
        <v>1670</v>
      </c>
      <c r="G200" s="351" t="s">
        <v>1670</v>
      </c>
      <c r="H200" s="351" t="s">
        <v>1670</v>
      </c>
      <c r="I200">
        <v>198</v>
      </c>
    </row>
    <row r="201" spans="1:9">
      <c r="A201" s="112" t="s">
        <v>1668</v>
      </c>
      <c r="B201" s="351" t="s">
        <v>1671</v>
      </c>
      <c r="C201" s="351" t="s">
        <v>1671</v>
      </c>
      <c r="D201" s="351" t="s">
        <v>1671</v>
      </c>
      <c r="E201" s="351" t="s">
        <v>1671</v>
      </c>
      <c r="F201" s="351" t="s">
        <v>1671</v>
      </c>
      <c r="G201" s="351" t="s">
        <v>1671</v>
      </c>
      <c r="H201" s="351" t="s">
        <v>1671</v>
      </c>
      <c r="I201">
        <v>199</v>
      </c>
    </row>
    <row r="202" spans="1:9">
      <c r="A202" s="112" t="s">
        <v>1669</v>
      </c>
      <c r="B202" s="351" t="s">
        <v>1672</v>
      </c>
      <c r="C202" s="351" t="s">
        <v>1672</v>
      </c>
      <c r="D202" s="351" t="s">
        <v>1672</v>
      </c>
      <c r="E202" s="351" t="s">
        <v>1672</v>
      </c>
      <c r="F202" s="351" t="s">
        <v>1672</v>
      </c>
      <c r="G202" s="351" t="s">
        <v>1672</v>
      </c>
      <c r="H202" s="351" t="s">
        <v>1672</v>
      </c>
      <c r="I202">
        <v>200</v>
      </c>
    </row>
    <row r="203" spans="1:9">
      <c r="A203" s="112" t="s">
        <v>1220</v>
      </c>
      <c r="B203" s="351" t="s">
        <v>1686</v>
      </c>
      <c r="C203" s="117" t="s">
        <v>1699</v>
      </c>
      <c r="D203" s="117" t="s">
        <v>1712</v>
      </c>
      <c r="E203" s="117" t="s">
        <v>1725</v>
      </c>
      <c r="F203" t="s">
        <v>1738</v>
      </c>
      <c r="G203" t="s">
        <v>1751</v>
      </c>
      <c r="H203" t="s">
        <v>1764</v>
      </c>
      <c r="I203">
        <v>201</v>
      </c>
    </row>
    <row r="204" spans="1:9">
      <c r="A204" s="112" t="s">
        <v>1221</v>
      </c>
      <c r="B204" s="351" t="s">
        <v>1687</v>
      </c>
      <c r="C204" s="117" t="s">
        <v>1700</v>
      </c>
      <c r="D204" s="117" t="s">
        <v>1713</v>
      </c>
      <c r="E204" s="117" t="s">
        <v>1726</v>
      </c>
      <c r="F204" t="s">
        <v>1739</v>
      </c>
      <c r="G204" t="s">
        <v>1752</v>
      </c>
      <c r="H204" t="s">
        <v>1765</v>
      </c>
      <c r="I204">
        <v>202</v>
      </c>
    </row>
    <row r="205" spans="1:9" ht="26.4">
      <c r="A205" s="112" t="s">
        <v>1222</v>
      </c>
      <c r="B205" s="351" t="s">
        <v>1688</v>
      </c>
      <c r="C205" s="117" t="s">
        <v>1701</v>
      </c>
      <c r="D205" s="117" t="s">
        <v>1714</v>
      </c>
      <c r="E205" s="117" t="s">
        <v>1727</v>
      </c>
      <c r="F205" t="s">
        <v>1740</v>
      </c>
      <c r="G205" t="s">
        <v>1753</v>
      </c>
      <c r="H205" t="s">
        <v>1766</v>
      </c>
      <c r="I205">
        <v>203</v>
      </c>
    </row>
    <row r="206" spans="1:9" ht="26.4">
      <c r="A206" s="112" t="s">
        <v>1223</v>
      </c>
      <c r="B206" s="351" t="s">
        <v>1689</v>
      </c>
      <c r="C206" s="117" t="s">
        <v>1702</v>
      </c>
      <c r="D206" s="117" t="s">
        <v>1715</v>
      </c>
      <c r="E206" s="117" t="s">
        <v>1728</v>
      </c>
      <c r="F206" t="s">
        <v>1741</v>
      </c>
      <c r="G206" t="s">
        <v>1754</v>
      </c>
      <c r="H206" t="s">
        <v>1767</v>
      </c>
      <c r="I206">
        <v>204</v>
      </c>
    </row>
    <row r="207" spans="1:9">
      <c r="A207" s="112" t="s">
        <v>1224</v>
      </c>
      <c r="B207" s="351" t="s">
        <v>1690</v>
      </c>
      <c r="C207" s="117" t="s">
        <v>1703</v>
      </c>
      <c r="D207" s="117" t="s">
        <v>1716</v>
      </c>
      <c r="E207" s="117" t="s">
        <v>1729</v>
      </c>
      <c r="F207" t="s">
        <v>1742</v>
      </c>
      <c r="G207" t="s">
        <v>1755</v>
      </c>
      <c r="H207" t="s">
        <v>1768</v>
      </c>
      <c r="I207">
        <v>205</v>
      </c>
    </row>
    <row r="208" spans="1:9">
      <c r="A208" s="112" t="s">
        <v>245</v>
      </c>
      <c r="B208" s="351" t="s">
        <v>1691</v>
      </c>
      <c r="C208" s="117" t="s">
        <v>1704</v>
      </c>
      <c r="D208" s="117" t="s">
        <v>1717</v>
      </c>
      <c r="E208" s="117" t="s">
        <v>1730</v>
      </c>
      <c r="F208" t="s">
        <v>1743</v>
      </c>
      <c r="G208" t="s">
        <v>1756</v>
      </c>
      <c r="H208" t="s">
        <v>1769</v>
      </c>
      <c r="I208">
        <v>206</v>
      </c>
    </row>
    <row r="209" spans="1:9" ht="26.4">
      <c r="A209" s="112" t="s">
        <v>1489</v>
      </c>
      <c r="B209" s="351" t="s">
        <v>1692</v>
      </c>
      <c r="C209" s="117" t="s">
        <v>1705</v>
      </c>
      <c r="D209" s="117" t="s">
        <v>1718</v>
      </c>
      <c r="E209" s="117" t="s">
        <v>1731</v>
      </c>
      <c r="F209" t="s">
        <v>1744</v>
      </c>
      <c r="G209" t="s">
        <v>1757</v>
      </c>
      <c r="H209" t="s">
        <v>1770</v>
      </c>
      <c r="I209">
        <v>207</v>
      </c>
    </row>
    <row r="210" spans="1:9" ht="26.4">
      <c r="A210" s="112" t="s">
        <v>1680</v>
      </c>
      <c r="B210" s="351" t="s">
        <v>1693</v>
      </c>
      <c r="C210" s="117" t="s">
        <v>1706</v>
      </c>
      <c r="D210" s="117" t="s">
        <v>1719</v>
      </c>
      <c r="E210" s="117" t="s">
        <v>1732</v>
      </c>
      <c r="F210" t="s">
        <v>1745</v>
      </c>
      <c r="G210" t="s">
        <v>1758</v>
      </c>
      <c r="H210" t="s">
        <v>1771</v>
      </c>
      <c r="I210">
        <v>208</v>
      </c>
    </row>
    <row r="211" spans="1:9" ht="39.6">
      <c r="A211" s="112" t="s">
        <v>1681</v>
      </c>
      <c r="B211" s="351" t="s">
        <v>1694</v>
      </c>
      <c r="C211" s="117" t="s">
        <v>1707</v>
      </c>
      <c r="D211" s="117" t="s">
        <v>1720</v>
      </c>
      <c r="E211" s="117" t="s">
        <v>1733</v>
      </c>
      <c r="F211" t="s">
        <v>1746</v>
      </c>
      <c r="G211" t="s">
        <v>1759</v>
      </c>
      <c r="H211" t="s">
        <v>1772</v>
      </c>
      <c r="I211">
        <v>209</v>
      </c>
    </row>
    <row r="212" spans="1:9">
      <c r="A212" s="112" t="s">
        <v>1682</v>
      </c>
      <c r="B212" s="351" t="s">
        <v>1695</v>
      </c>
      <c r="C212" s="117" t="s">
        <v>1708</v>
      </c>
      <c r="D212" s="117" t="s">
        <v>1721</v>
      </c>
      <c r="E212" s="117" t="s">
        <v>1734</v>
      </c>
      <c r="F212" t="s">
        <v>1747</v>
      </c>
      <c r="G212" t="s">
        <v>1760</v>
      </c>
      <c r="H212" t="s">
        <v>1773</v>
      </c>
      <c r="I212">
        <v>210</v>
      </c>
    </row>
    <row r="213" spans="1:9">
      <c r="A213" s="112" t="s">
        <v>1683</v>
      </c>
      <c r="B213" s="351" t="s">
        <v>1696</v>
      </c>
      <c r="C213" s="117" t="s">
        <v>1709</v>
      </c>
      <c r="D213" s="117" t="s">
        <v>1722</v>
      </c>
      <c r="E213" s="117" t="s">
        <v>1735</v>
      </c>
      <c r="F213" t="s">
        <v>1748</v>
      </c>
      <c r="G213" t="s">
        <v>1761</v>
      </c>
      <c r="H213" t="s">
        <v>1774</v>
      </c>
      <c r="I213">
        <v>211</v>
      </c>
    </row>
    <row r="214" spans="1:9">
      <c r="A214" s="112" t="s">
        <v>1684</v>
      </c>
      <c r="B214" s="351" t="s">
        <v>1697</v>
      </c>
      <c r="C214" s="117" t="s">
        <v>1710</v>
      </c>
      <c r="D214" s="117" t="s">
        <v>1723</v>
      </c>
      <c r="E214" s="117" t="s">
        <v>1736</v>
      </c>
      <c r="F214" t="s">
        <v>1749</v>
      </c>
      <c r="G214" t="s">
        <v>1762</v>
      </c>
      <c r="H214" t="s">
        <v>1775</v>
      </c>
      <c r="I214">
        <v>212</v>
      </c>
    </row>
    <row r="215" spans="1:9">
      <c r="A215" s="112" t="s">
        <v>1685</v>
      </c>
      <c r="B215" s="351" t="s">
        <v>1698</v>
      </c>
      <c r="C215" s="117" t="s">
        <v>1711</v>
      </c>
      <c r="D215" s="117" t="s">
        <v>1724</v>
      </c>
      <c r="E215" s="117" t="s">
        <v>1737</v>
      </c>
      <c r="F215" t="s">
        <v>1750</v>
      </c>
      <c r="G215" t="s">
        <v>1763</v>
      </c>
      <c r="H215" t="s">
        <v>1776</v>
      </c>
      <c r="I215">
        <v>213</v>
      </c>
    </row>
    <row r="216" spans="1:9">
      <c r="A216" s="112" t="s">
        <v>1777</v>
      </c>
      <c r="B216" s="351" t="s">
        <v>1778</v>
      </c>
      <c r="C216" s="117" t="s">
        <v>1779</v>
      </c>
      <c r="D216" s="117" t="s">
        <v>1780</v>
      </c>
      <c r="E216" s="117" t="s">
        <v>1781</v>
      </c>
      <c r="F216" s="161" t="s">
        <v>1782</v>
      </c>
      <c r="G216" s="161" t="s">
        <v>1783</v>
      </c>
      <c r="H216" s="161" t="s">
        <v>1784</v>
      </c>
      <c r="I216">
        <v>214</v>
      </c>
    </row>
    <row r="217" spans="1:9">
      <c r="A217" s="112" t="s">
        <v>1785</v>
      </c>
      <c r="B217" s="351" t="s">
        <v>1216</v>
      </c>
      <c r="C217" s="117" t="s">
        <v>835</v>
      </c>
      <c r="D217" s="117" t="s">
        <v>1217</v>
      </c>
      <c r="E217" s="117" t="s">
        <v>849</v>
      </c>
      <c r="F217" t="s">
        <v>813</v>
      </c>
      <c r="G217" t="s">
        <v>805</v>
      </c>
      <c r="H217" t="s">
        <v>823</v>
      </c>
      <c r="I217">
        <v>215</v>
      </c>
    </row>
    <row r="218" spans="1:9">
      <c r="A218" s="112" t="s">
        <v>1786</v>
      </c>
      <c r="B218" s="351" t="s">
        <v>1211</v>
      </c>
      <c r="C218" s="117" t="s">
        <v>833</v>
      </c>
      <c r="D218" s="117" t="s">
        <v>1212</v>
      </c>
      <c r="E218" s="117" t="s">
        <v>846</v>
      </c>
      <c r="F218" t="s">
        <v>810</v>
      </c>
      <c r="G218" t="s">
        <v>802</v>
      </c>
      <c r="H218" t="s">
        <v>820</v>
      </c>
      <c r="I218">
        <v>216</v>
      </c>
    </row>
    <row r="219" spans="1:9">
      <c r="A219" s="112" t="s">
        <v>1792</v>
      </c>
      <c r="B219" s="351" t="s">
        <v>1218</v>
      </c>
      <c r="C219" s="117" t="s">
        <v>844</v>
      </c>
      <c r="D219" s="117" t="s">
        <v>1219</v>
      </c>
      <c r="E219" s="117" t="s">
        <v>850</v>
      </c>
      <c r="F219" t="s">
        <v>814</v>
      </c>
      <c r="G219" t="s">
        <v>806</v>
      </c>
      <c r="H219" t="s">
        <v>824</v>
      </c>
      <c r="I219">
        <v>217</v>
      </c>
    </row>
  </sheetData>
  <phoneticPr fontId="4" type="noConversion"/>
  <pageMargins left="0.27559055118110237" right="0.19685039370078741" top="0.98425196850393704" bottom="0.98425196850393704" header="0.51181102362204722" footer="0.51181102362204722"/>
  <pageSetup paperSize="9" scale="18" orientation="portrait" r:id="rId1"/>
  <headerFooter alignWithMargins="0">
    <oddHeader>&amp;LDimensional Report&amp;RPE-AUT-AV-00011-001 Rev. D13</oddHeader>
    <oddFooter>&amp;L&amp;A&amp;RPage &amp;P of &amp;N, printed: &amp;D
&amp;F</oddFoot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0">
    <pageSetUpPr fitToPage="1"/>
  </sheetPr>
  <dimension ref="A1:F18"/>
  <sheetViews>
    <sheetView workbookViewId="0">
      <selection activeCell="B2" sqref="B2"/>
    </sheetView>
  </sheetViews>
  <sheetFormatPr defaultColWidth="11" defaultRowHeight="13.2"/>
  <cols>
    <col min="1" max="1" width="23.33203125" bestFit="1" customWidth="1"/>
    <col min="2" max="3" width="11" customWidth="1"/>
    <col min="4" max="4" width="11.44140625" style="115" customWidth="1"/>
    <col min="5" max="5" width="20" customWidth="1"/>
    <col min="6" max="6" width="34" style="94" customWidth="1"/>
  </cols>
  <sheetData>
    <row r="1" spans="1:6" s="110" customFormat="1">
      <c r="A1" s="110" t="s">
        <v>37</v>
      </c>
      <c r="B1" s="110" t="s">
        <v>88</v>
      </c>
      <c r="D1" s="113" t="s">
        <v>1398</v>
      </c>
      <c r="E1" s="17" t="s">
        <v>1399</v>
      </c>
      <c r="F1" s="127" t="s">
        <v>158</v>
      </c>
    </row>
    <row r="2" spans="1:6" s="37" customFormat="1" ht="26.4">
      <c r="A2" s="37" t="s">
        <v>89</v>
      </c>
      <c r="B2" s="124">
        <v>2</v>
      </c>
      <c r="D2" s="114" t="s">
        <v>1400</v>
      </c>
      <c r="E2" s="92" t="str">
        <f>IF(LEN(HeaderData.TeReportNo)=7,"Accepted","Not Accepted")</f>
        <v>Not Accepted</v>
      </c>
      <c r="F2" s="94" t="s">
        <v>238</v>
      </c>
    </row>
    <row r="3" spans="1:6" ht="26.4">
      <c r="A3" t="s">
        <v>396</v>
      </c>
      <c r="B3" t="b">
        <f>AND(LEFT(A3,1)="F",0)</f>
        <v>0</v>
      </c>
      <c r="D3" s="115" t="s">
        <v>1403</v>
      </c>
      <c r="E3" s="92" t="s">
        <v>157</v>
      </c>
      <c r="F3" s="94" t="s">
        <v>380</v>
      </c>
    </row>
    <row r="4" spans="1:6">
      <c r="A4" t="s">
        <v>271</v>
      </c>
      <c r="B4">
        <v>170309</v>
      </c>
      <c r="D4" s="115" t="s">
        <v>1404</v>
      </c>
      <c r="E4" s="93"/>
      <c r="F4" s="94" t="s">
        <v>251</v>
      </c>
    </row>
    <row r="5" spans="1:6">
      <c r="A5" t="s">
        <v>1010</v>
      </c>
      <c r="B5" s="38" t="b">
        <v>0</v>
      </c>
      <c r="D5" s="115" t="s">
        <v>1405</v>
      </c>
      <c r="F5" s="94" t="s">
        <v>254</v>
      </c>
    </row>
    <row r="6" spans="1:6" ht="26.4">
      <c r="A6" t="s">
        <v>1013</v>
      </c>
      <c r="B6" s="38">
        <v>16</v>
      </c>
      <c r="D6" s="348" t="s">
        <v>1519</v>
      </c>
      <c r="F6" s="94" t="s">
        <v>381</v>
      </c>
    </row>
    <row r="7" spans="1:6" ht="26.4">
      <c r="A7" s="269" t="s">
        <v>1124</v>
      </c>
      <c r="B7" s="269">
        <v>0</v>
      </c>
      <c r="D7" s="348" t="s">
        <v>1520</v>
      </c>
      <c r="F7" s="94" t="s">
        <v>264</v>
      </c>
    </row>
    <row r="8" spans="1:6" ht="39.6">
      <c r="F8" s="94" t="s">
        <v>277</v>
      </c>
    </row>
    <row r="9" spans="1:6" ht="26.4">
      <c r="F9" s="94" t="s">
        <v>382</v>
      </c>
    </row>
    <row r="10" spans="1:6" ht="26.4">
      <c r="F10" s="94" t="s">
        <v>261</v>
      </c>
    </row>
    <row r="11" spans="1:6">
      <c r="F11" s="94" t="s">
        <v>267</v>
      </c>
    </row>
    <row r="12" spans="1:6" ht="26.4">
      <c r="F12" s="94" t="s">
        <v>293</v>
      </c>
    </row>
    <row r="13" spans="1:6" ht="26.4">
      <c r="F13" s="94" t="s">
        <v>294</v>
      </c>
    </row>
    <row r="14" spans="1:6" ht="39.6">
      <c r="F14" s="94" t="s">
        <v>383</v>
      </c>
    </row>
    <row r="15" spans="1:6">
      <c r="F15" s="94" t="s">
        <v>384</v>
      </c>
    </row>
    <row r="16" spans="1:6" ht="26.4">
      <c r="F16" s="94" t="s">
        <v>307</v>
      </c>
    </row>
    <row r="18" spans="6:6">
      <c r="F18" s="128"/>
    </row>
  </sheetData>
  <sheetProtection formatColumns="0" formatRows="0" autoFilter="0"/>
  <phoneticPr fontId="4" type="noConversion"/>
  <pageMargins left="0.27559055118110237" right="0.19685039370078741" top="0.98425196850393704" bottom="0.98425196850393704" header="0.51181102362204722" footer="0.51181102362204722"/>
  <pageSetup paperSize="9" scale="91" orientation="portrait" r:id="rId1"/>
  <headerFooter alignWithMargins="0">
    <oddHeader>&amp;LDimensional Report&amp;RPE-AUT-AV-00011-001 Rev. D13</oddHeader>
    <oddFooter>&amp;L&amp;A&amp;RPage &amp;P of &amp;N, printed: &amp;D
&amp;F</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pageSetUpPr fitToPage="1"/>
  </sheetPr>
  <dimension ref="A1:W71"/>
  <sheetViews>
    <sheetView tabSelected="1" view="pageBreakPreview" topLeftCell="A2" zoomScale="75" zoomScaleNormal="100" zoomScaleSheetLayoutView="115" workbookViewId="0">
      <selection activeCell="C10" sqref="C10:C50"/>
    </sheetView>
  </sheetViews>
  <sheetFormatPr defaultColWidth="11" defaultRowHeight="13.2"/>
  <cols>
    <col min="1" max="1" width="31.5546875" customWidth="1"/>
    <col min="2" max="2" width="35.6640625" customWidth="1"/>
    <col min="3" max="3" width="40.5546875" customWidth="1"/>
    <col min="4" max="4" width="28" style="38" customWidth="1"/>
    <col min="5" max="23" width="11.44140625" style="38" customWidth="1"/>
  </cols>
  <sheetData>
    <row r="1" spans="1:23" ht="1.5" hidden="1" customHeight="1">
      <c r="B1" s="13" t="s">
        <v>505</v>
      </c>
      <c r="C1">
        <f>Settings!B4</f>
        <v>170309</v>
      </c>
    </row>
    <row r="2" spans="1:23" ht="24.6">
      <c r="C2" s="274" t="str">
        <f>VLOOKUP("txtTEFormDescription",LangRange,LangID,FALSE)</f>
        <v>Dimensional Report</v>
      </c>
    </row>
    <row r="3" spans="1:23" ht="15.6">
      <c r="C3" s="338" t="s">
        <v>2</v>
      </c>
    </row>
    <row r="4" spans="1:23">
      <c r="C4" s="37" t="s">
        <v>3</v>
      </c>
    </row>
    <row r="5" spans="1:23">
      <c r="C5" s="161" t="s">
        <v>1572</v>
      </c>
    </row>
    <row r="6" spans="1:23" ht="1.5" hidden="1" customHeight="1">
      <c r="B6" s="268"/>
      <c r="C6" s="161"/>
    </row>
    <row r="7" spans="1:23" ht="1.5" hidden="1" customHeight="1"/>
    <row r="8" spans="1:23" ht="1.5" customHeight="1" thickBot="1"/>
    <row r="9" spans="1:23" ht="13.8" thickBot="1">
      <c r="A9" s="308" t="str">
        <f>VLOOKUP("txtLanguageNote",LangRange,LangID,FALSE)</f>
        <v>Selected language:</v>
      </c>
      <c r="B9" s="357" t="str">
        <f>VLOOKUP("txtLanguage",LangRange,LangID,FALSE)</f>
        <v>English</v>
      </c>
      <c r="C9" s="34"/>
    </row>
    <row r="10" spans="1:23" ht="13.8" thickBot="1">
      <c r="A10" s="322"/>
      <c r="B10" s="290" t="str">
        <f>VLOOKUP("txtTeReportNo",LangRange,LangID,FALSE)</f>
        <v>TE Control Report Nr. **</v>
      </c>
      <c r="C10" s="287" t="s">
        <v>1569</v>
      </c>
      <c r="G10" s="17"/>
    </row>
    <row r="11" spans="1:23">
      <c r="A11" s="282" t="str">
        <f>VLOOKUP("txtDataTechnical",LangRange,LangID,FALSE)</f>
        <v>Part Data</v>
      </c>
      <c r="B11" s="297" t="str">
        <f>VLOOKUP("txtTePnDesc",LangRange,LangID,FALSE)</f>
        <v>TE Part Description*</v>
      </c>
      <c r="C11" s="287" t="s">
        <v>1537</v>
      </c>
      <c r="G11" s="17"/>
    </row>
    <row r="12" spans="1:23" s="266" customFormat="1">
      <c r="A12" s="283"/>
      <c r="B12" s="288" t="str">
        <f>VLOOKUP("txtTEPN",LangRange,LangID,FALSE)</f>
        <v>TE Part Number*</v>
      </c>
      <c r="C12" s="292" t="s">
        <v>1538</v>
      </c>
      <c r="D12" s="267"/>
      <c r="E12" s="267"/>
      <c r="F12" s="267"/>
      <c r="G12" s="17"/>
      <c r="H12" s="267"/>
      <c r="I12" s="267"/>
      <c r="J12" s="267"/>
      <c r="K12" s="267"/>
      <c r="L12" s="267"/>
      <c r="M12" s="267"/>
      <c r="N12" s="267"/>
      <c r="O12" s="267"/>
      <c r="P12" s="267"/>
      <c r="Q12" s="267"/>
      <c r="R12" s="267"/>
      <c r="S12" s="267"/>
      <c r="T12" s="267"/>
      <c r="U12" s="267"/>
      <c r="V12" s="267"/>
      <c r="W12" s="267"/>
    </row>
    <row r="13" spans="1:23" s="266" customFormat="1">
      <c r="A13" s="283"/>
      <c r="B13" s="288" t="str">
        <f>VLOOKUP("txtTePnRev",LangRange,LangID,FALSE)</f>
        <v>TE Part Nr. Revision*</v>
      </c>
      <c r="C13" s="292" t="s">
        <v>1539</v>
      </c>
      <c r="D13" s="267"/>
      <c r="E13" s="267"/>
      <c r="F13" s="267"/>
      <c r="G13" s="17"/>
      <c r="H13" s="267"/>
      <c r="I13" s="267"/>
      <c r="J13" s="267"/>
      <c r="K13" s="267"/>
      <c r="L13" s="267"/>
      <c r="M13" s="267"/>
      <c r="N13" s="267"/>
      <c r="O13" s="267"/>
      <c r="P13" s="267"/>
      <c r="Q13" s="267"/>
      <c r="R13" s="267"/>
      <c r="S13" s="267"/>
      <c r="T13" s="267"/>
      <c r="U13" s="267"/>
      <c r="V13" s="267"/>
      <c r="W13" s="267"/>
    </row>
    <row r="14" spans="1:23" s="266" customFormat="1">
      <c r="A14" s="283"/>
      <c r="B14" s="288" t="str">
        <f>VLOOKUP("txtTeCADrev",LangRange,LangID,FALSE)</f>
        <v>TE CAD Model Revision*</v>
      </c>
      <c r="C14" s="292" t="s">
        <v>1593</v>
      </c>
      <c r="D14" s="267"/>
      <c r="E14" s="267"/>
      <c r="F14" s="267"/>
      <c r="G14" s="17"/>
      <c r="H14" s="267"/>
      <c r="I14" s="267"/>
      <c r="J14" s="267"/>
      <c r="K14" s="267"/>
      <c r="L14" s="267"/>
      <c r="M14" s="267"/>
      <c r="N14" s="267"/>
      <c r="O14" s="267"/>
      <c r="P14" s="267"/>
      <c r="Q14" s="267"/>
      <c r="R14" s="267"/>
      <c r="S14" s="267"/>
      <c r="T14" s="267"/>
      <c r="U14" s="267"/>
      <c r="V14" s="267"/>
      <c r="W14" s="267"/>
    </row>
    <row r="15" spans="1:23">
      <c r="A15" s="283"/>
      <c r="B15" s="288" t="str">
        <f>VLOOKUP("txtTeToolNo",LangRange,LangID,FALSE)</f>
        <v>TE Tool Number*</v>
      </c>
      <c r="C15" s="289" t="s">
        <v>1540</v>
      </c>
      <c r="G15" s="17"/>
    </row>
    <row r="16" spans="1:23" s="266" customFormat="1">
      <c r="A16" s="283"/>
      <c r="B16" s="288" t="str">
        <f>VLOOKUP("txtTeDwgNo",LangRange,LangID,FALSE)</f>
        <v>TE Drawing Number*</v>
      </c>
      <c r="C16" s="292" t="s">
        <v>1541</v>
      </c>
      <c r="D16" s="267"/>
      <c r="E16" s="267"/>
      <c r="F16" s="267"/>
      <c r="G16" s="17"/>
      <c r="H16" s="267"/>
      <c r="I16" s="267"/>
      <c r="J16" s="267"/>
      <c r="K16" s="267"/>
      <c r="L16" s="267"/>
      <c r="M16" s="267"/>
      <c r="N16" s="267"/>
      <c r="O16" s="267"/>
      <c r="P16" s="267"/>
      <c r="Q16" s="267"/>
      <c r="R16" s="267"/>
      <c r="S16" s="267"/>
      <c r="T16" s="267"/>
      <c r="U16" s="267"/>
      <c r="V16" s="267"/>
      <c r="W16" s="267"/>
    </row>
    <row r="17" spans="1:23" s="266" customFormat="1" ht="13.8" thickBot="1">
      <c r="A17" s="283"/>
      <c r="B17" s="382" t="s">
        <v>1105</v>
      </c>
      <c r="C17" s="383" t="s">
        <v>1542</v>
      </c>
      <c r="D17" s="267"/>
      <c r="E17" s="267"/>
      <c r="F17" s="267"/>
      <c r="G17" s="17"/>
      <c r="H17" s="267"/>
      <c r="I17" s="267"/>
      <c r="J17" s="267"/>
      <c r="K17" s="267"/>
      <c r="L17" s="267"/>
      <c r="M17" s="267"/>
      <c r="N17" s="267"/>
      <c r="O17" s="267"/>
      <c r="P17" s="267"/>
      <c r="Q17" s="267"/>
      <c r="R17" s="267"/>
      <c r="S17" s="267"/>
      <c r="T17" s="267"/>
      <c r="U17" s="267"/>
      <c r="V17" s="267"/>
      <c r="W17" s="267"/>
    </row>
    <row r="18" spans="1:23">
      <c r="A18" s="282" t="str">
        <f>VLOOKUP("txtDataInspection",LangRange,LangID,FALSE)</f>
        <v>Inspection Data</v>
      </c>
      <c r="B18" s="288" t="str">
        <f>VLOOKUP("txtTeReportRev",LangRange,LangID,FALSE)</f>
        <v>Revision of Dimensional Report*</v>
      </c>
      <c r="C18" s="292" t="s">
        <v>1543</v>
      </c>
    </row>
    <row r="19" spans="1:23">
      <c r="A19" s="284"/>
      <c r="B19" s="288" t="str">
        <f>VLOOKUP("txtMeasureDate",LangRange,LangID,FALSE)</f>
        <v>Date of issue*</v>
      </c>
      <c r="C19" s="293" t="s">
        <v>1544</v>
      </c>
    </row>
    <row r="20" spans="1:23">
      <c r="A20" s="284"/>
      <c r="B20" s="288" t="str">
        <f>VLOOKUP("txtMeasureLoc",LangRange,LangID,FALSE)</f>
        <v>Inspection location*</v>
      </c>
      <c r="C20" s="292" t="s">
        <v>1545</v>
      </c>
    </row>
    <row r="21" spans="1:23">
      <c r="A21" s="284"/>
      <c r="B21" s="288" t="str">
        <f>VLOOKUP("txtInspectorName",LangRange,LangID,FALSE)</f>
        <v>Inspector*</v>
      </c>
      <c r="C21" s="292" t="s">
        <v>1546</v>
      </c>
      <c r="D21" s="342" t="s">
        <v>1497</v>
      </c>
    </row>
    <row r="22" spans="1:23">
      <c r="A22" s="284"/>
      <c r="B22" s="288" t="str">
        <f>VLOOKUP("txtInspectionDevice",LangRange,LangID,FALSE)</f>
        <v>Inspection Device, ID*</v>
      </c>
      <c r="C22" s="292" t="s">
        <v>1425</v>
      </c>
    </row>
    <row r="23" spans="1:23">
      <c r="A23" s="284"/>
      <c r="B23" s="296" t="str">
        <f>VLOOKUP("txtOrderNo",LangRange,LangID,FALSE)</f>
        <v>Order #</v>
      </c>
      <c r="C23" s="292" t="s">
        <v>1547</v>
      </c>
      <c r="G23" s="146"/>
    </row>
    <row r="24" spans="1:23" ht="13.8" thickBot="1">
      <c r="A24" s="285"/>
      <c r="B24" s="288" t="str">
        <f>VLOOKUP("txtInspectorEmail",LangRange,LangID,FALSE)</f>
        <v>Contact - eMail*</v>
      </c>
      <c r="C24" s="341" t="s">
        <v>1548</v>
      </c>
    </row>
    <row r="25" spans="1:23">
      <c r="A25" s="282" t="str">
        <f>VLOOKUP("txtDataTEContact",LangRange,LangID,FALSE)</f>
        <v>TE Contacts</v>
      </c>
      <c r="B25" s="288" t="str">
        <f>VLOOKUP("txtTePe",LangRange,LangID,FALSE)</f>
        <v>TE Product Engineer*</v>
      </c>
      <c r="C25" s="287" t="s">
        <v>1549</v>
      </c>
    </row>
    <row r="26" spans="1:23">
      <c r="A26" s="284"/>
      <c r="B26" s="288" t="str">
        <f>VLOOKUP("txtTePeEmail",LangRange,LangID,FALSE)</f>
        <v>TE Product Engineer - eMail*</v>
      </c>
      <c r="C26" s="295" t="s">
        <v>1550</v>
      </c>
    </row>
    <row r="27" spans="1:23">
      <c r="A27" s="286"/>
      <c r="B27" s="296" t="str">
        <f>VLOOKUP("txtTeToolPm",LangRange,LangID,FALSE)</f>
        <v>Tool Project Manager</v>
      </c>
      <c r="C27" s="292" t="s">
        <v>1551</v>
      </c>
    </row>
    <row r="28" spans="1:23">
      <c r="A28" s="286"/>
      <c r="B28" s="296" t="str">
        <f>VLOOKUP("txtTeToolPmEmail",LangRange,LangID,FALSE)</f>
        <v>Tool Project Manager - eMail</v>
      </c>
      <c r="C28" s="292" t="s">
        <v>1550</v>
      </c>
    </row>
    <row r="29" spans="1:23">
      <c r="A29" s="286"/>
      <c r="B29" s="296" t="s">
        <v>1498</v>
      </c>
      <c r="C29" s="292" t="s">
        <v>1552</v>
      </c>
    </row>
    <row r="30" spans="1:23" ht="13.8" thickBot="1">
      <c r="A30" s="285"/>
      <c r="B30" s="294" t="s">
        <v>1499</v>
      </c>
      <c r="C30" s="341" t="s">
        <v>1553</v>
      </c>
    </row>
    <row r="31" spans="1:23">
      <c r="A31" s="282" t="str">
        <f>VLOOKUP("txtDataOV",LangRange,LangID,FALSE)</f>
        <v>Supplier Reference</v>
      </c>
      <c r="B31" s="297" t="str">
        <f>VLOOKUP("txtOVID",LangRange,LangID,FALSE)</f>
        <v>TE Supplier ID*</v>
      </c>
      <c r="C31" s="287" t="s">
        <v>1554</v>
      </c>
    </row>
    <row r="32" spans="1:23">
      <c r="A32" s="284"/>
      <c r="B32" s="291" t="str">
        <f>VLOOKUP("txtOVCompany",LangRange,LangID,FALSE)</f>
        <v>Supplier</v>
      </c>
      <c r="C32" s="292" t="s">
        <v>1555</v>
      </c>
      <c r="F32" s="123" t="s">
        <v>1018</v>
      </c>
    </row>
    <row r="33" spans="1:8">
      <c r="A33" s="284"/>
      <c r="B33" s="291" t="str">
        <f>VLOOKUP("txtDeliveryNoteNo",LangRange,LangID,FALSE)</f>
        <v>Delivery reference #</v>
      </c>
      <c r="C33" s="292" t="s">
        <v>1596</v>
      </c>
    </row>
    <row r="34" spans="1:8">
      <c r="A34" s="284"/>
      <c r="B34" s="291" t="str">
        <f>VLOOKUP("txtOVReportNo",LangRange,LangID,FALSE)</f>
        <v>Supplier Report #</v>
      </c>
      <c r="C34" s="292"/>
    </row>
    <row r="35" spans="1:8" ht="13.8" thickBot="1">
      <c r="A35" s="285"/>
      <c r="B35" s="385" t="str">
        <f>VLOOKUP("txtOVToolNo",LangRange,LangID,FALSE)</f>
        <v>Supplier Tool Number</v>
      </c>
      <c r="C35" s="383"/>
    </row>
    <row r="36" spans="1:8">
      <c r="A36" s="149" t="str">
        <f>VLOOKUP("txtDataMaterial",LangRange,LangID,FALSE)</f>
        <v>Material Data</v>
      </c>
      <c r="B36" s="387" t="s">
        <v>1524</v>
      </c>
      <c r="C36" s="388" t="s">
        <v>1556</v>
      </c>
      <c r="H36" s="123"/>
    </row>
    <row r="37" spans="1:8">
      <c r="B37" s="389" t="str">
        <f>VLOOKUP("txtNetWeight",LangRange,LangID,FALSE)</f>
        <v>Net Weight [gr]*</v>
      </c>
      <c r="C37" s="292" t="s">
        <v>1557</v>
      </c>
    </row>
    <row r="38" spans="1:8">
      <c r="A38" s="350"/>
      <c r="B38" s="312" t="str">
        <f>VLOOKUP("txtMaterial",LangRange,LangID,FALSE)</f>
        <v>Material</v>
      </c>
      <c r="C38" s="313" t="s">
        <v>1558</v>
      </c>
    </row>
    <row r="39" spans="1:8">
      <c r="A39" s="350"/>
      <c r="B39" s="321" t="str">
        <f>VLOOKUP("txtMaterialNo",LangRange,LangID,FALSE)</f>
        <v>Material TE part number*</v>
      </c>
      <c r="C39" s="313" t="s">
        <v>1559</v>
      </c>
    </row>
    <row r="40" spans="1:8">
      <c r="A40" s="350"/>
      <c r="B40" s="321" t="str">
        <f>VLOOKUP("txtLotNo",LangRange,LangID,FALSE)</f>
        <v>Material lot number*</v>
      </c>
      <c r="C40" s="292" t="s">
        <v>1543</v>
      </c>
    </row>
    <row r="41" spans="1:8">
      <c r="A41" s="350"/>
      <c r="B41" s="291" t="str">
        <f>IF(C36="Metal","",VLOOKUP("txtRAL",LangRange,LangID,FALSE))</f>
        <v>RAL Colour</v>
      </c>
      <c r="C41" s="292" t="s">
        <v>1560</v>
      </c>
    </row>
    <row r="42" spans="1:8" ht="13.8" thickBot="1">
      <c r="A42" s="386"/>
      <c r="B42" s="294" t="str">
        <f>IF(C36="Metal","",VLOOKUP("txtRegrind",LangRange,LangID,FALSE))</f>
        <v>Used Regrind %</v>
      </c>
      <c r="C42" s="298" t="s">
        <v>1561</v>
      </c>
    </row>
    <row r="43" spans="1:8">
      <c r="A43" s="299" t="str">
        <f>VLOOKUP("txtDataProduction",LangRange,LangID,FALSE)</f>
        <v>Production Data</v>
      </c>
      <c r="B43" s="321" t="str">
        <f>VLOOKUP("txtMoldMachine",LangRange,LangID,FALSE)</f>
        <v>Machine/Machine Group*</v>
      </c>
      <c r="C43" s="292" t="s">
        <v>1562</v>
      </c>
      <c r="G43" s="17"/>
    </row>
    <row r="44" spans="1:8">
      <c r="A44" s="284"/>
      <c r="B44" s="291" t="str">
        <f>VLOOKUP("txtMachineType",LangRange,LangID,FALSE)</f>
        <v>Machine type and size</v>
      </c>
      <c r="C44" s="292" t="s">
        <v>1563</v>
      </c>
      <c r="G44" s="17"/>
    </row>
    <row r="45" spans="1:8">
      <c r="A45" s="284"/>
      <c r="B45" s="321" t="str">
        <f>VLOOKUP("txtProductionDate",LangRange,LangID,FALSE)</f>
        <v>Production date*</v>
      </c>
      <c r="C45" s="293" t="s">
        <v>1544</v>
      </c>
      <c r="G45" s="17"/>
    </row>
    <row r="46" spans="1:8">
      <c r="A46" s="286"/>
      <c r="B46" s="296" t="str">
        <f>VLOOKUP("txtOrderNo",LangRange,LangID,FALSE)</f>
        <v>Order #</v>
      </c>
      <c r="C46" s="292" t="s">
        <v>1547</v>
      </c>
      <c r="G46" s="17"/>
    </row>
    <row r="47" spans="1:8">
      <c r="A47" s="284"/>
      <c r="B47" s="291" t="str">
        <f>VLOOKUP("txtProductionRate",LangRange,LangID,FALSE)</f>
        <v>Production rate</v>
      </c>
      <c r="C47" s="292" t="s">
        <v>1564</v>
      </c>
      <c r="G47" s="17"/>
    </row>
    <row r="48" spans="1:8">
      <c r="A48" s="284"/>
      <c r="B48" s="321" t="str">
        <f>IF(C36="Metal",VLOOKUP("txtNumberofDie",LangRange,LangID,FALSE),VLOOKUP("txtCavitiesQuantity",LangRange,LangID,FALSE))</f>
        <v>Quantity of cavities*</v>
      </c>
      <c r="C48" s="292" t="s">
        <v>1565</v>
      </c>
      <c r="G48" s="17"/>
    </row>
    <row r="49" spans="1:7">
      <c r="A49" s="284"/>
      <c r="B49" s="321" t="str">
        <f>IF(C36="Metal",VLOOKUP("txtTrackinuse",LangRange,LangID,FALSE),VLOOKUP("txtCavitiesUsed",LangRange,LangID,FALSE))</f>
        <v>Total and numbers of cavities in use*</v>
      </c>
      <c r="C49" s="292" t="s">
        <v>1566</v>
      </c>
      <c r="G49" s="17"/>
    </row>
    <row r="50" spans="1:7" ht="13.8" thickBot="1">
      <c r="A50" s="285"/>
      <c r="B50" s="321" t="str">
        <f>IF(C36="Metal",VLOOKUP("txtSamplesperTrack",LangRange,LangID,FALSE),VLOOKUP("txtCavitiesPartsQuantity",LangRange,LangID,FALSE))</f>
        <v>Quantity of samples per cavity*</v>
      </c>
      <c r="C50" s="298" t="s">
        <v>1543</v>
      </c>
    </row>
    <row r="51" spans="1:7" ht="9" customHeight="1" thickBot="1">
      <c r="A51" s="300"/>
      <c r="B51" s="271"/>
      <c r="C51" s="272"/>
    </row>
    <row r="52" spans="1:7" ht="16.5" customHeight="1" thickBot="1">
      <c r="A52" s="309" t="str">
        <f>VLOOKUP("txtMandatory",LangRange,2,FALSE)</f>
        <v xml:space="preserve">*) mandatory  </v>
      </c>
      <c r="B52" s="302" t="str">
        <f>VLOOKUP("txtDimRepReason",LangRange,LangID,FALSE)</f>
        <v>Dimensional Report reason*</v>
      </c>
      <c r="C52" s="270" t="s">
        <v>246</v>
      </c>
    </row>
    <row r="53" spans="1:7" ht="13.8" hidden="1" thickBot="1">
      <c r="A53" s="301"/>
      <c r="B53" s="126"/>
      <c r="C53" s="35"/>
    </row>
    <row r="54" spans="1:7" ht="13.8" hidden="1" thickBot="1">
      <c r="A54" s="108"/>
      <c r="B54" s="126"/>
      <c r="C54" s="35"/>
    </row>
    <row r="55" spans="1:7" ht="13.8" hidden="1" thickBot="1">
      <c r="A55" s="108"/>
      <c r="B55" s="126"/>
      <c r="C55" s="35"/>
    </row>
    <row r="56" spans="1:7" ht="13.8" hidden="1" thickBot="1">
      <c r="A56" s="108"/>
      <c r="B56" s="109"/>
      <c r="C56" s="35"/>
    </row>
    <row r="57" spans="1:7" ht="13.8" hidden="1" thickBot="1">
      <c r="A57" s="310"/>
      <c r="B57" s="311"/>
      <c r="C57" s="35"/>
    </row>
    <row r="58" spans="1:7" ht="16.5" customHeight="1" thickBot="1">
      <c r="A58" s="404" t="str">
        <f>VLOOKUP("txtMandatoryTD",LangRange,LangID,FALSE)</f>
        <v xml:space="preserve">**)  mandatory. supplier measuring: T&amp;D / internal: measurement room   </v>
      </c>
      <c r="B58" s="404"/>
      <c r="C58" s="281"/>
    </row>
    <row r="59" spans="1:7" ht="40.5" customHeight="1" thickBot="1">
      <c r="A59" s="91" t="str">
        <f>VLOOKUP("txtComment",LangRange,LangID,FALSE)</f>
        <v>Comment:</v>
      </c>
      <c r="C59" s="36" t="str">
        <f>VLOOKUP("txtAcceptanceReport",LangRange,LangID,FALSE)</f>
        <v>Acceptance of report - to be filled out by Product Eng. only!</v>
      </c>
      <c r="D59" s="405" t="str">
        <f>IF(Settings!E2="Not Accepted",CONCATENATE("Invalid/ Missing ", B10),"")</f>
        <v>Invalid/ Missing TE Control Report Nr. **</v>
      </c>
      <c r="E59" s="406"/>
    </row>
    <row r="60" spans="1:7">
      <c r="A60" s="396"/>
      <c r="B60" s="397"/>
      <c r="C60" s="147"/>
      <c r="D60" s="405"/>
      <c r="E60" s="406"/>
    </row>
    <row r="61" spans="1:7">
      <c r="A61" s="398"/>
      <c r="B61" s="399"/>
      <c r="C61" s="148" t="str">
        <f>VLOOKUP("txtComment",LangRange,LangID,FALSE)</f>
        <v>Comment:</v>
      </c>
      <c r="D61" s="67"/>
    </row>
    <row r="62" spans="1:7">
      <c r="A62" s="398"/>
      <c r="B62" s="399"/>
      <c r="C62" s="402"/>
      <c r="D62" s="67"/>
    </row>
    <row r="63" spans="1:7">
      <c r="A63" s="398"/>
      <c r="B63" s="399"/>
      <c r="C63" s="402"/>
      <c r="D63" s="67"/>
    </row>
    <row r="64" spans="1:7">
      <c r="A64" s="398"/>
      <c r="B64" s="399"/>
      <c r="C64" s="402"/>
      <c r="D64" s="67"/>
    </row>
    <row r="65" spans="1:4">
      <c r="A65" s="398"/>
      <c r="B65" s="399"/>
      <c r="C65" s="402"/>
      <c r="D65" s="67"/>
    </row>
    <row r="66" spans="1:4" ht="13.8" thickBot="1">
      <c r="A66" s="400"/>
      <c r="B66" s="401"/>
      <c r="C66" s="403"/>
      <c r="D66" s="67"/>
    </row>
    <row r="67" spans="1:4" ht="3.75" hidden="1" customHeight="1"/>
    <row r="68" spans="1:4" ht="33" customHeight="1">
      <c r="A68" s="323" t="str">
        <f>VLOOKUP("txtTEPN",LangRange,LangID,FALSE)</f>
        <v>TE Part Number*</v>
      </c>
      <c r="B68" s="324" t="str">
        <f>CONCATENATE(HeaderData.TEPN, " Rev. ", HeaderData.TePnRev)</f>
        <v>&lt;1-1111111-1&gt; Rev. &lt;A&gt;</v>
      </c>
    </row>
    <row r="69" spans="1:4" ht="9" hidden="1" customHeight="1"/>
    <row r="70" spans="1:4">
      <c r="A70" s="17" t="s">
        <v>34</v>
      </c>
    </row>
    <row r="71" spans="1:4" ht="39.75" customHeight="1">
      <c r="A71" s="395" t="s">
        <v>1477</v>
      </c>
      <c r="B71" s="395"/>
      <c r="C71" s="395"/>
    </row>
  </sheetData>
  <sheetProtection formatColumns="0" formatRows="0" autoFilter="0"/>
  <mergeCells count="5">
    <mergeCell ref="A71:C71"/>
    <mergeCell ref="A60:B66"/>
    <mergeCell ref="C62:C66"/>
    <mergeCell ref="A58:B58"/>
    <mergeCell ref="D59:E60"/>
  </mergeCells>
  <phoneticPr fontId="4" type="noConversion"/>
  <conditionalFormatting sqref="C57">
    <cfRule type="expression" dxfId="28" priority="10" stopIfTrue="1">
      <formula>LEFT(C25)="&lt;"</formula>
    </cfRule>
  </conditionalFormatting>
  <conditionalFormatting sqref="C56">
    <cfRule type="expression" dxfId="27" priority="11" stopIfTrue="1">
      <formula>LEFT(#REF!)="&lt;"</formula>
    </cfRule>
  </conditionalFormatting>
  <conditionalFormatting sqref="C60">
    <cfRule type="expression" dxfId="26" priority="12" stopIfTrue="1">
      <formula>(LEFT(C60,1)="A")</formula>
    </cfRule>
    <cfRule type="expression" dxfId="25" priority="13" stopIfTrue="1">
      <formula>(LEFT(C60,1)="R")</formula>
    </cfRule>
  </conditionalFormatting>
  <conditionalFormatting sqref="C24:C27 C46:C55 C31:C35 C37:C44 C10:C22">
    <cfRule type="expression" dxfId="24" priority="14" stopIfTrue="1">
      <formula>LEFT(C10)="&lt;"</formula>
    </cfRule>
  </conditionalFormatting>
  <conditionalFormatting sqref="C23">
    <cfRule type="expression" dxfId="23" priority="9" stopIfTrue="1">
      <formula>LEFT(C23)="&lt;"</formula>
    </cfRule>
  </conditionalFormatting>
  <conditionalFormatting sqref="C29">
    <cfRule type="expression" dxfId="22" priority="8" stopIfTrue="1">
      <formula>LEFT(C29)="&lt;"</formula>
    </cfRule>
  </conditionalFormatting>
  <conditionalFormatting sqref="C28">
    <cfRule type="expression" dxfId="21" priority="7" stopIfTrue="1">
      <formula>LEFT(C28)="&lt;"</formula>
    </cfRule>
  </conditionalFormatting>
  <conditionalFormatting sqref="C30">
    <cfRule type="expression" dxfId="20" priority="4" stopIfTrue="1">
      <formula>LEFT(C30)="&lt;"</formula>
    </cfRule>
  </conditionalFormatting>
  <conditionalFormatting sqref="C45">
    <cfRule type="expression" dxfId="19" priority="2" stopIfTrue="1">
      <formula>LEFT(C45)="&lt;"</formula>
    </cfRule>
  </conditionalFormatting>
  <conditionalFormatting sqref="C36">
    <cfRule type="expression" dxfId="18" priority="1" stopIfTrue="1">
      <formula>LEFT(C36)="&lt;"</formula>
    </cfRule>
  </conditionalFormatting>
  <dataValidations count="4">
    <dataValidation type="list" errorStyle="warning" allowBlank="1" showInputMessage="1" showErrorMessage="1" error="Your entry isn't allowed. Please select a value from the pulldown menu." promptTitle="Acceptance of report" prompt="Please select a value from list." sqref="C60" xr:uid="{00000000-0002-0000-0600-000000000000}">
      <formula1>_DrpDwnReportQuality</formula1>
    </dataValidation>
    <dataValidation type="list" allowBlank="1" showErrorMessage="1" sqref="C62:C66" xr:uid="{00000000-0002-0000-0600-000001000000}">
      <formula1>RatingComments</formula1>
    </dataValidation>
    <dataValidation type="list" allowBlank="1" showInputMessage="1" showErrorMessage="1" sqref="C22" xr:uid="{00000000-0002-0000-0600-000002000000}">
      <formula1>_DrpDwnDeviceList</formula1>
    </dataValidation>
    <dataValidation type="list" allowBlank="1" showInputMessage="1" showErrorMessage="1" sqref="C36" xr:uid="{E8C8A297-5E24-4264-8823-5BA39B267E96}">
      <formula1>"Plastic,Silicon,Metal,Plastic + Metal"</formula1>
    </dataValidation>
  </dataValidations>
  <pageMargins left="0.27559055118110237" right="0.19685039370078741" top="0.98425196850393704" bottom="0.98425196850393704" header="0.51181102362204722" footer="0.51181102362204722"/>
  <pageSetup paperSize="9" scale="54" orientation="landscape" r:id="rId1"/>
  <headerFooter alignWithMargins="0">
    <oddHeader>&amp;LDimensional Report&amp;RPE-AUT-AV-00011-001 Rev. D13</oddHeader>
    <oddFooter>&amp;L&amp;A&amp;RPage &amp;P of &amp;N, printed: &amp;D
&amp;F</oddFooter>
  </headerFooter>
  <cellWatches>
    <cellWatch r="C37"/>
    <cellWatch r="C52"/>
    <cellWatch r="C20"/>
  </cellWatches>
  <drawing r:id="rId2"/>
  <legacyDrawing r:id="rId3"/>
  <controls>
    <mc:AlternateContent xmlns:mc="http://schemas.openxmlformats.org/markup-compatibility/2006">
      <mc:Choice Requires="x14">
        <control shapeId="3154" r:id="rId4" name="CB_DimRepReason">
          <controlPr defaultSize="0" autoLine="0" linkedCell="HeaderData.DimRepReason" r:id="rId5">
            <anchor moveWithCells="1" sizeWithCells="1">
              <from>
                <xdr:col>2</xdr:col>
                <xdr:colOff>22860</xdr:colOff>
                <xdr:row>51</xdr:row>
                <xdr:rowOff>7620</xdr:rowOff>
              </from>
              <to>
                <xdr:col>2</xdr:col>
                <xdr:colOff>2697480</xdr:colOff>
                <xdr:row>52</xdr:row>
                <xdr:rowOff>0</xdr:rowOff>
              </to>
            </anchor>
          </controlPr>
        </control>
      </mc:Choice>
      <mc:Fallback>
        <control shapeId="3154" r:id="rId4" name="CB_DimRepReas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pageSetUpPr fitToPage="1"/>
  </sheetPr>
  <dimension ref="A1:T6"/>
  <sheetViews>
    <sheetView zoomScale="130" zoomScaleNormal="130" workbookViewId="0">
      <pane xSplit="6" ySplit="6" topLeftCell="L7" activePane="bottomRight" state="frozen"/>
      <selection activeCell="C5" sqref="C5"/>
      <selection pane="topRight" activeCell="C5" sqref="C5"/>
      <selection pane="bottomLeft" activeCell="C5" sqref="C5"/>
      <selection pane="bottomRight" activeCell="A7" sqref="A7"/>
    </sheetView>
  </sheetViews>
  <sheetFormatPr defaultColWidth="11.44140625" defaultRowHeight="13.2"/>
  <cols>
    <col min="1" max="1" width="18" style="38" customWidth="1"/>
    <col min="2" max="2" width="19.88671875" style="38" customWidth="1"/>
    <col min="3" max="3" width="8.33203125" style="38" customWidth="1"/>
    <col min="4" max="4" width="8.5546875" style="38" customWidth="1"/>
    <col min="5" max="6" width="7.5546875" style="38" customWidth="1"/>
    <col min="7" max="8" width="10.109375" style="121" customWidth="1"/>
    <col min="9" max="10" width="8.33203125" style="53" customWidth="1"/>
    <col min="11" max="11" width="14.44140625" style="53" customWidth="1"/>
    <col min="12" max="12" width="27.6640625" style="133" customWidth="1"/>
    <col min="13" max="14" width="13.109375" style="123" customWidth="1"/>
    <col min="15" max="15" width="5.6640625" style="67" customWidth="1"/>
    <col min="16" max="16" width="28.6640625" style="88" customWidth="1"/>
    <col min="17" max="17" width="5.88671875" style="54" customWidth="1"/>
    <col min="18" max="18" width="13.88671875" style="55" customWidth="1"/>
    <col min="19" max="19" width="5.44140625" style="54" customWidth="1"/>
    <col min="20" max="20" width="13.88671875" style="55" customWidth="1"/>
    <col min="21" max="16384" width="11.44140625" style="38"/>
  </cols>
  <sheetData>
    <row r="1" spans="1:20" s="306" customFormat="1" ht="14.25" customHeight="1">
      <c r="A1" s="149"/>
      <c r="B1" s="138" t="str">
        <f>VLOOKUP("txtTEPN",LangRange,LangID,FALSE)</f>
        <v>TE Part Number*</v>
      </c>
      <c r="C1" s="138"/>
      <c r="D1" s="150" t="str">
        <f>VLOOKUP("txtTEToolNo",LangRange,LangID,FALSE)</f>
        <v>TE Tool Number*</v>
      </c>
      <c r="E1" s="138"/>
      <c r="F1" s="150" t="str">
        <f>VLOOKUP("txtTEReport",LangRange,LangID,FALSE)</f>
        <v>TE Report #</v>
      </c>
      <c r="G1" s="151"/>
      <c r="H1" s="151"/>
      <c r="I1" s="136"/>
      <c r="J1" s="136"/>
      <c r="K1" s="152" t="str">
        <f>VLOOKUP("txtTEReportRevision",LangRange,LangID,FALSE)</f>
        <v>Revision of Dimensional Report</v>
      </c>
      <c r="M1" s="138"/>
      <c r="N1" s="138"/>
      <c r="O1" s="153"/>
      <c r="P1" s="154" t="str">
        <f>VLOOKUP("txtOrderNo",LangRange,LangID,FALSE)</f>
        <v>Order #</v>
      </c>
      <c r="Q1" s="137"/>
      <c r="R1" s="145"/>
      <c r="S1" s="137"/>
      <c r="T1" s="145"/>
    </row>
    <row r="2" spans="1:20" ht="14.25" customHeight="1" thickBot="1">
      <c r="A2" s="155"/>
      <c r="B2" s="156" t="str">
        <f>CONCATENATE(HeaderData.TEPN, " Rev. ", HeaderData.TePnRev)</f>
        <v>&lt;1-1111111-1&gt; Rev. &lt;A&gt;</v>
      </c>
      <c r="C2" s="157"/>
      <c r="D2" s="158" t="str">
        <f>HeaderData.TeToolNo</f>
        <v>&lt;51-12345&gt;</v>
      </c>
      <c r="E2"/>
      <c r="F2" s="159" t="str">
        <f>HeaderData.TeReportNo</f>
        <v>&lt;1234&gt;</v>
      </c>
      <c r="G2" s="160"/>
      <c r="H2" s="366"/>
      <c r="K2" s="159" t="str">
        <f>HeaderData.TeReportRev</f>
        <v>&lt;1&gt;</v>
      </c>
      <c r="M2" s="161"/>
      <c r="N2" s="161"/>
      <c r="O2" s="16"/>
      <c r="P2" s="162" t="str">
        <f>HeaderData.TeOrderNo</f>
        <v>&lt;123456789&gt;</v>
      </c>
      <c r="R2" s="144"/>
      <c r="T2" s="144"/>
    </row>
    <row r="3" spans="1:20" ht="42.75" customHeight="1">
      <c r="A3" s="118"/>
      <c r="B3" s="119"/>
      <c r="C3" s="119"/>
      <c r="D3" s="119"/>
      <c r="E3" s="119"/>
      <c r="F3" s="120"/>
      <c r="G3" s="89" t="str">
        <f t="shared" ref="G3" si="0">VLOOKUP("txtActualDim",LangRange,LangID,FALSE)</f>
        <v xml:space="preserve">actual Dim. </v>
      </c>
      <c r="H3" s="89" t="str">
        <f>VLOOKUP("txtActualDim",LangRange,LangID,FALSE)</f>
        <v xml:space="preserve">actual Dim. </v>
      </c>
      <c r="I3" s="90" t="str">
        <f t="shared" ref="I3" si="1">VLOOKUP("txtDeviation",LangRange,LangID,FALSE)</f>
        <v>Devia-tion</v>
      </c>
      <c r="J3" s="367" t="str">
        <f>VLOOKUP("txtDeviation",LangRange,LangID,FALSE)</f>
        <v>Devia-tion</v>
      </c>
      <c r="K3" s="132"/>
      <c r="L3" s="132"/>
      <c r="M3" s="122"/>
      <c r="N3" s="380"/>
      <c r="O3" s="407"/>
      <c r="P3" s="408"/>
      <c r="Q3" s="125" t="s">
        <v>39</v>
      </c>
      <c r="R3" s="143"/>
      <c r="S3" s="125"/>
      <c r="T3" s="143"/>
    </row>
    <row r="4" spans="1:20" s="88" customFormat="1" ht="60" customHeight="1" thickBot="1">
      <c r="A4" s="48" t="str">
        <f>VLOOKUP("txtPositionNo",LangRange,LangID,FALSE)</f>
        <v>Position No.</v>
      </c>
      <c r="B4" s="49" t="str">
        <f>VLOOKUP("txtDescriptionMetrology",LangRange,LangID,FALSE)</f>
        <v>Description</v>
      </c>
      <c r="C4" s="50" t="str">
        <f>VLOOKUP("txtNominalValue",LangRange,LangID,FALSE)</f>
        <v xml:space="preserve">Nominal </v>
      </c>
      <c r="D4" s="50" t="str">
        <f>VLOOKUP("txtUnit",LangRange,LangID,FALSE)</f>
        <v>Unit</v>
      </c>
      <c r="E4" s="50" t="str">
        <f>VLOOKUP("txtTol+",LangRange,LangID,FALSE)</f>
        <v>USL (Tol+)</v>
      </c>
      <c r="F4" s="51" t="str">
        <f>VLOOKUP("txtTol-",LangRange,LangID,FALSE)</f>
        <v>LSL (Tol-)</v>
      </c>
      <c r="G4" s="129" t="s">
        <v>1532</v>
      </c>
      <c r="H4" s="129" t="s">
        <v>1533</v>
      </c>
      <c r="I4" s="130" t="s">
        <v>1532</v>
      </c>
      <c r="J4" s="368" t="s">
        <v>1533</v>
      </c>
      <c r="K4" s="352" t="str">
        <f>VLOOKUP("txtDatum",LangRange,LangID,FALSE)</f>
        <v>Alignment Description</v>
      </c>
      <c r="L4" s="141" t="str">
        <f>VLOOKUP("txtRemarkMetrology",LangRange,LangID,FALSE)</f>
        <v>Remark Metrology</v>
      </c>
      <c r="M4" s="52" t="str">
        <f>VLOOKUP("txtdateMeasurement",LangRange,LangID,FALSE)</f>
        <v>Date of Measurement</v>
      </c>
      <c r="N4" s="381" t="str">
        <f>VLOOKUP("txtRepReason",LangRange,LangID,FALSE)</f>
        <v>Report Reason</v>
      </c>
      <c r="O4" s="349" t="str">
        <f>VLOOKUP("txtReleasePe",LangRange,LangID,FALSE)</f>
        <v>Release PE</v>
      </c>
      <c r="P4" s="142" t="str">
        <f>VLOOKUP("txtRemarkPe",LangRange,LangID,FALSE)</f>
        <v>Remark PE</v>
      </c>
      <c r="Q4" s="131" t="s">
        <v>1532</v>
      </c>
      <c r="R4" s="87"/>
      <c r="S4" s="370" t="s">
        <v>1533</v>
      </c>
      <c r="T4" s="87"/>
    </row>
    <row r="5" spans="1:20" s="317" customFormat="1" ht="1.5" customHeight="1">
      <c r="A5" s="314" t="s">
        <v>159</v>
      </c>
      <c r="B5" s="314"/>
      <c r="C5" s="314"/>
      <c r="D5" s="314"/>
      <c r="E5" s="314"/>
      <c r="F5" s="314"/>
      <c r="G5" s="314" t="s">
        <v>160</v>
      </c>
      <c r="H5" s="314" t="s">
        <v>1534</v>
      </c>
      <c r="I5" s="314" t="s">
        <v>26</v>
      </c>
      <c r="J5" s="314" t="s">
        <v>1535</v>
      </c>
      <c r="K5" s="314"/>
      <c r="L5" s="315"/>
      <c r="M5" s="314"/>
      <c r="N5" s="314"/>
      <c r="O5" s="314"/>
      <c r="P5" s="315"/>
      <c r="Q5" s="314" t="s">
        <v>27</v>
      </c>
      <c r="R5" s="316"/>
      <c r="S5" s="371" t="s">
        <v>1536</v>
      </c>
      <c r="T5" s="316"/>
    </row>
    <row r="6" spans="1:20">
      <c r="A6" s="365"/>
      <c r="B6" s="194"/>
      <c r="C6" s="169"/>
      <c r="D6" s="170"/>
      <c r="E6" s="171"/>
      <c r="F6" s="172"/>
      <c r="G6" s="173"/>
      <c r="H6" s="173"/>
      <c r="I6" s="174" t="str">
        <f t="shared" ref="I6" si="2">Taguchi($C6,$E6,$F6,G6)</f>
        <v/>
      </c>
      <c r="J6" s="369" t="str">
        <f t="shared" ref="J6" si="3">Taguchi($C6,$E6,$F6,H6)</f>
        <v/>
      </c>
      <c r="K6" s="356"/>
      <c r="L6" s="339"/>
      <c r="M6" s="379"/>
      <c r="N6" s="379"/>
      <c r="O6" s="377"/>
      <c r="P6" s="175"/>
      <c r="Q6" s="134" t="str">
        <f t="shared" ref="Q6" si="4">TaguchiQualityLoss($C6,$E6,$F6,$G6)</f>
        <v/>
      </c>
      <c r="R6" s="135" t="str">
        <f>TaguchiBar(Q6)</f>
        <v/>
      </c>
      <c r="S6" s="372" t="str">
        <f t="shared" ref="S6" si="5">TaguchiQualityLoss($C6,$E6,$F6,$H6)</f>
        <v/>
      </c>
      <c r="T6" s="373" t="str">
        <f t="shared" ref="T6" si="6">TaguchiBar(S6)</f>
        <v/>
      </c>
    </row>
  </sheetData>
  <sheetProtection algorithmName="SHA-512" hashValue="xu3uR9aC9w3Gwrf83ZMN837fHzZmoiTejMRjidpaa8IP2NYPLO25hR2WcaX1N2fOF3QrrxIeYohLu+3K55Rb4w==" saltValue="wYRg4y28fJpYvGTJimsCrg==" spinCount="100000" sheet="1" objects="1" scenarios="1" formatColumns="0" formatRows="0" autoFilter="0"/>
  <autoFilter ref="A6:T6" xr:uid="{9FBB1568-B2A1-4D8C-9E2A-6632D86F0CEA}"/>
  <mergeCells count="1">
    <mergeCell ref="O3:P3"/>
  </mergeCells>
  <phoneticPr fontId="4" type="noConversion"/>
  <conditionalFormatting sqref="R1:R5 R7:R65490">
    <cfRule type="expression" dxfId="17" priority="3788" stopIfTrue="1">
      <formula>AND(LEFT($R1,1)="█",$Q1&lt;=0.5)</formula>
    </cfRule>
    <cfRule type="expression" dxfId="16" priority="3789" stopIfTrue="1">
      <formula>AND(LEFT($R1,1)="█",$Q1&gt;0.5,$Q1&lt;=0.9)</formula>
    </cfRule>
    <cfRule type="expression" dxfId="15" priority="3790" stopIfTrue="1">
      <formula>AND(LEFT($R1,1)="█",$Q1&gt;0.9)</formula>
    </cfRule>
  </conditionalFormatting>
  <conditionalFormatting sqref="R6">
    <cfRule type="expression" dxfId="14" priority="3791" stopIfTrue="1">
      <formula>AND(LEFT($R6,1)="█",10*$Q6&lt;=5)</formula>
    </cfRule>
    <cfRule type="expression" dxfId="13" priority="3792" stopIfTrue="1">
      <formula>AND(LEFT($R6,1)="█",10*$Q6&gt;5,10*$Q6&lt;=9)</formula>
    </cfRule>
    <cfRule type="expression" dxfId="12" priority="3793" stopIfTrue="1">
      <formula>AND(LEFT($R6,1)="█",10*$Q6&gt;9)</formula>
    </cfRule>
  </conditionalFormatting>
  <conditionalFormatting sqref="G6:H6">
    <cfRule type="expression" dxfId="11" priority="3794" stopIfTrue="1">
      <formula>IF(G6="ok",TRUE,IF(FIND("..",G6)&gt;0,TRUE,FALSE))</formula>
    </cfRule>
    <cfRule type="expression" dxfId="10" priority="3795" stopIfTrue="1">
      <formula>OR(AND($F6="-",$C6="-",G6&gt;$E6),AND($F6="-",IF($C6&lt;&gt;"-",OR(G6&gt;$C6+$E6/2,G6&lt;$C6-$E6/2),FALSE)))</formula>
    </cfRule>
    <cfRule type="expression" dxfId="9" priority="3796" stopIfTrue="1">
      <formula>OR(ISTEXT(G6),OR(ISTEXT($C6)),AND(OR($E6&lt;&gt;"",$F6&lt;&gt;""),IF(ISNUMBER(G6),OR(G6&gt;$C6+$E6,G6&lt;$C6+$F6),TRUE)))</formula>
    </cfRule>
  </conditionalFormatting>
  <conditionalFormatting sqref="O6">
    <cfRule type="cellIs" dxfId="8" priority="3797" stopIfTrue="1" operator="equal">
      <formula>"E"</formula>
    </cfRule>
    <cfRule type="expression" dxfId="7" priority="3798" stopIfTrue="1">
      <formula>OR(O6="V1",O6="V2",O6="D")</formula>
    </cfRule>
    <cfRule type="expression" dxfId="6" priority="3799" stopIfTrue="1">
      <formula>OR(O6="-",O6="Z")</formula>
    </cfRule>
  </conditionalFormatting>
  <conditionalFormatting sqref="K2 B2 D2 F2">
    <cfRule type="expression" dxfId="5" priority="3800" stopIfTrue="1">
      <formula>LEFT(B2)="&lt;"</formula>
    </cfRule>
  </conditionalFormatting>
  <conditionalFormatting sqref="P2">
    <cfRule type="expression" dxfId="4" priority="3801" stopIfTrue="1">
      <formula>LEFT(P2)="&lt;"</formula>
    </cfRule>
  </conditionalFormatting>
  <conditionalFormatting sqref="P6:P978">
    <cfRule type="expression" dxfId="3" priority="1">
      <formula>AND($O6="V2",$P6="")</formula>
    </cfRule>
  </conditionalFormatting>
  <conditionalFormatting sqref="T1:T1048576">
    <cfRule type="expression" dxfId="2" priority="3802" stopIfTrue="1">
      <formula>AND(LEFT($T1,1)="█",$S1&lt;=0.5)</formula>
    </cfRule>
    <cfRule type="expression" dxfId="1" priority="3803" stopIfTrue="1">
      <formula>AND(LEFT($T1,1)="█",$S1&gt;0.5,$S1&lt;=0.9)</formula>
    </cfRule>
    <cfRule type="expression" dxfId="0" priority="3804" stopIfTrue="1">
      <formula>AND(LEFT($T1,1)="█",$S1&gt;0.9)</formula>
    </cfRule>
  </conditionalFormatting>
  <dataValidations xWindow="1174" yWindow="789" count="2">
    <dataValidation type="list" allowBlank="1" showInputMessage="1" showErrorMessage="1" sqref="L6" xr:uid="{00000000-0002-0000-0700-000001000000}">
      <formula1>_DrpDwnDeviceList</formula1>
    </dataValidation>
    <dataValidation type="list" showInputMessage="1" showErrorMessage="1" errorTitle="Appraisal of meassurement result" error="Please select one of the following values from the dropdown list/_x000a_Bitte wählen Sie einen der folgenden Werte aus der Drop Down Liste:_x000a_-_x000a_Z_x000a_D_x000a_E_x000a_V" promptTitle="Select your assessment result" prompt="-  = Part conforms drawing_x000a_Z = Deviation is accepted_x000a_D = Drawing needs to be corrected_x000a_E = Tool needs to be corrected_x000a_V1 / V2 = Release with reservation" sqref="O6" xr:uid="{402F3D9A-B466-4053-A1C8-D6ECC4F4E5D4}">
      <formula1>_DrpDwnAppraisal</formula1>
    </dataValidation>
  </dataValidations>
  <pageMargins left="0.27559055118110237" right="0.19685039370078741" top="0.98425196850393704" bottom="0.98425196850393704" header="0.51181102362204722" footer="0.51181102362204722"/>
  <pageSetup paperSize="9" scale="52" orientation="portrait" r:id="rId1"/>
  <headerFooter alignWithMargins="0">
    <oddHeader>&amp;LDimensional Report&amp;RPE-AUT-AV-00011-001 Rev. D13</oddHeader>
    <oddFooter>&amp;L&amp;A&amp;RPage &amp;P of &amp;N, printed: &amp;D
&amp;F</oddFooter>
  </headerFooter>
  <ignoredErrors>
    <ignoredError sqref="I3 G3" unlockedFormula="1"/>
  </ignoredError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4">
    <pageSetUpPr fitToPage="1"/>
  </sheetPr>
  <dimension ref="C18:C24"/>
  <sheetViews>
    <sheetView zoomScale="70" zoomScaleNormal="70" workbookViewId="0">
      <selection activeCell="AC49" sqref="AC49"/>
    </sheetView>
  </sheetViews>
  <sheetFormatPr defaultColWidth="11.44140625" defaultRowHeight="13.2"/>
  <sheetData>
    <row r="18" spans="3:3" ht="17.399999999999999">
      <c r="C18" s="43" t="str">
        <f>VLOOKUP("txtDigitalReportHeader",LangRange,LangID,FALSE)</f>
        <v>Digital Report</v>
      </c>
    </row>
    <row r="19" spans="3:3">
      <c r="C19" s="37"/>
    </row>
    <row r="20" spans="3:3">
      <c r="C20" s="37" t="str">
        <f>VLOOKUP("txtDigitalReportNote01",LangRange,LangID,FALSE)</f>
        <v>Enter here Digital Inspection Reports according</v>
      </c>
    </row>
    <row r="21" spans="3:3">
      <c r="C21" s="37"/>
    </row>
    <row r="22" spans="3:3">
      <c r="C22" s="37" t="str">
        <f>VLOOKUP("txtDigitalReportNote02",LangRange,LangID,FALSE)</f>
        <v>SWI_EMEA_085_3</v>
      </c>
    </row>
    <row r="23" spans="3:3">
      <c r="C23" s="37"/>
    </row>
    <row r="24" spans="3:3">
      <c r="C24" s="37"/>
    </row>
  </sheetData>
  <sheetProtection formatColumns="0" formatRows="0" autoFilter="0"/>
  <pageMargins left="0.27559055118110237" right="0.19685039370078741" top="0.98425196850393704" bottom="0.98425196850393704" header="0.51181102362204722" footer="0.51181102362204722"/>
  <pageSetup paperSize="9" orientation="portrait" r:id="rId1"/>
  <headerFooter alignWithMargins="0">
    <oddHeader>&amp;LDimensional Report&amp;RPE-AUT-AV-00011-001 Rev. D13</oddHeader>
    <oddFooter>&amp;L&amp;A&amp;RPage &amp;P of &amp;N, printed: &amp;D
&amp;F</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2">
    <pageSetUpPr fitToPage="1"/>
  </sheetPr>
  <dimension ref="A1:B21"/>
  <sheetViews>
    <sheetView zoomScaleNormal="100" workbookViewId="0">
      <selection activeCell="A18" sqref="A18"/>
    </sheetView>
  </sheetViews>
  <sheetFormatPr defaultColWidth="11" defaultRowHeight="13.2"/>
  <cols>
    <col min="1" max="1" width="45.109375" customWidth="1"/>
    <col min="2" max="2" width="31.5546875" customWidth="1"/>
  </cols>
  <sheetData>
    <row r="1" spans="1:2" s="94" customFormat="1" ht="24.75" customHeight="1">
      <c r="A1" s="326" t="str">
        <f>VLOOKUP("txtInspectionDevice",LangRange,LangID,FALSE)</f>
        <v>Inspection Device, ID*</v>
      </c>
      <c r="B1" s="328" t="str">
        <f>VLOOKUP("txtExamples",LangRange,LangID,FALSE)</f>
        <v>Examples:</v>
      </c>
    </row>
    <row r="2" spans="1:2">
      <c r="A2" s="327" t="s">
        <v>1425</v>
      </c>
      <c r="B2" s="340" t="s">
        <v>1426</v>
      </c>
    </row>
    <row r="3" spans="1:2">
      <c r="A3" s="327"/>
      <c r="B3" s="340" t="s">
        <v>1455</v>
      </c>
    </row>
    <row r="4" spans="1:2">
      <c r="A4" s="327"/>
      <c r="B4" s="340" t="s">
        <v>1456</v>
      </c>
    </row>
    <row r="5" spans="1:2">
      <c r="A5" s="327"/>
      <c r="B5" s="340" t="s">
        <v>1454</v>
      </c>
    </row>
    <row r="6" spans="1:2">
      <c r="A6" s="327"/>
      <c r="B6" s="340" t="s">
        <v>1457</v>
      </c>
    </row>
    <row r="7" spans="1:2">
      <c r="A7" s="327"/>
    </row>
    <row r="8" spans="1:2">
      <c r="A8" s="327"/>
    </row>
    <row r="9" spans="1:2">
      <c r="A9" s="327"/>
    </row>
    <row r="10" spans="1:2">
      <c r="A10" s="327"/>
    </row>
    <row r="11" spans="1:2">
      <c r="A11" s="327"/>
    </row>
    <row r="12" spans="1:2">
      <c r="A12" s="327"/>
    </row>
    <row r="13" spans="1:2">
      <c r="A13" s="327"/>
    </row>
    <row r="14" spans="1:2">
      <c r="A14" s="327"/>
    </row>
    <row r="15" spans="1:2">
      <c r="A15" s="325"/>
    </row>
    <row r="16" spans="1:2">
      <c r="A16" s="325"/>
    </row>
    <row r="17" spans="1:1">
      <c r="A17" s="325"/>
    </row>
    <row r="18" spans="1:1">
      <c r="A18" s="325"/>
    </row>
    <row r="19" spans="1:1">
      <c r="A19" s="325"/>
    </row>
    <row r="20" spans="1:1">
      <c r="A20" s="325"/>
    </row>
    <row r="21" spans="1:1">
      <c r="A21" s="325"/>
    </row>
  </sheetData>
  <sheetProtection formatColumns="0" formatRows="0" autoFilter="0"/>
  <pageMargins left="0.27559055118110237" right="0.19685039370078741" top="0.98425196850393704" bottom="0.98425196850393704" header="0.51181102362204722" footer="0.51181102362204722"/>
  <pageSetup paperSize="9" orientation="portrait" r:id="rId1"/>
  <headerFooter alignWithMargins="0">
    <oddHeader>&amp;LDimensional Report&amp;RPE-AUT-AV-00011-001 Rev. D13</oddHeader>
    <oddFooter>&amp;L&amp;A&amp;RPage &amp;P of &amp;N, printed: &amp;D
&amp;F</odd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5">
    <pageSetUpPr fitToPage="1"/>
  </sheetPr>
  <dimension ref="A2:A4"/>
  <sheetViews>
    <sheetView workbookViewId="0">
      <selection activeCell="I42" sqref="I42"/>
    </sheetView>
  </sheetViews>
  <sheetFormatPr defaultColWidth="11" defaultRowHeight="13.2"/>
  <sheetData>
    <row r="2" spans="1:1">
      <c r="A2" s="17" t="str">
        <f>VLOOKUP("txtTypicErrorDo",LangRange,LangID,FALSE)</f>
        <v>Insert digital photos and explaining text concerning the measurement here.</v>
      </c>
    </row>
    <row r="4" spans="1:1">
      <c r="A4" s="17"/>
    </row>
  </sheetData>
  <sheetProtection formatColumns="0" formatRows="0" autoFilter="0"/>
  <phoneticPr fontId="4" type="noConversion"/>
  <pageMargins left="0.27559055118110237" right="0.19685039370078741" top="0.98425196850393704" bottom="0.98425196850393704" header="0.51181102362204722" footer="0.51181102362204722"/>
  <pageSetup paperSize="9" orientation="portrait" r:id="rId1"/>
  <headerFooter alignWithMargins="0">
    <oddHeader>&amp;LDimensional Report&amp;RPE-AUT-AV-00011-001 Rev. D13</oddHeader>
    <oddFooter>&amp;L&amp;A&amp;RPage &amp;P of &amp;N, 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
    <pageSetUpPr fitToPage="1"/>
  </sheetPr>
  <dimension ref="A1:H46"/>
  <sheetViews>
    <sheetView view="pageBreakPreview" zoomScale="70" zoomScaleNormal="100" zoomScaleSheetLayoutView="70" workbookViewId="0">
      <selection activeCell="L13" sqref="L13"/>
    </sheetView>
  </sheetViews>
  <sheetFormatPr defaultColWidth="11" defaultRowHeight="13.2"/>
  <sheetData>
    <row r="1" spans="1:8" ht="17.399999999999999">
      <c r="A1" s="43" t="str">
        <f>VLOOKUP("txtRelatedDocu",LangRange,LangID,FALSE)</f>
        <v>Additional documentation</v>
      </c>
    </row>
    <row r="2" spans="1:8">
      <c r="A2" s="17" t="str">
        <f>VLOOKUP("txtRelatedDocuNr",LangRange,LangID,FALSE)</f>
        <v>Number</v>
      </c>
      <c r="B2" s="17"/>
      <c r="C2" s="17" t="str">
        <f>VLOOKUP("txtRelatedDocuType",LangRange,LangID,FALSE)</f>
        <v>Type</v>
      </c>
      <c r="D2" s="17" t="str">
        <f>VLOOKUP("txtRelatedDocuName",LangRange,LangID,FALSE)</f>
        <v>Name</v>
      </c>
      <c r="E2" s="17"/>
      <c r="F2" s="17"/>
      <c r="G2" s="17"/>
      <c r="H2" s="17" t="str">
        <f>VLOOKUP("txtRelatedDocuRemark",LangRange,LangID,FALSE)</f>
        <v>Remark</v>
      </c>
    </row>
    <row r="3" spans="1:8">
      <c r="A3" t="s">
        <v>350</v>
      </c>
      <c r="C3" t="s">
        <v>351</v>
      </c>
      <c r="D3" t="s">
        <v>352</v>
      </c>
      <c r="H3" t="s">
        <v>353</v>
      </c>
    </row>
    <row r="4" spans="1:8">
      <c r="A4" t="s">
        <v>1464</v>
      </c>
      <c r="C4" t="s">
        <v>354</v>
      </c>
      <c r="D4" t="s">
        <v>355</v>
      </c>
      <c r="H4" t="s">
        <v>356</v>
      </c>
    </row>
    <row r="5" spans="1:8">
      <c r="A5" t="s">
        <v>357</v>
      </c>
      <c r="C5" t="s">
        <v>358</v>
      </c>
      <c r="D5" t="s">
        <v>359</v>
      </c>
      <c r="H5" t="s">
        <v>362</v>
      </c>
    </row>
    <row r="6" spans="1:8">
      <c r="A6" t="s">
        <v>363</v>
      </c>
      <c r="C6" t="s">
        <v>358</v>
      </c>
      <c r="D6" t="s">
        <v>364</v>
      </c>
      <c r="H6" t="s">
        <v>365</v>
      </c>
    </row>
    <row r="7" spans="1:8">
      <c r="A7" s="37" t="s">
        <v>1485</v>
      </c>
      <c r="C7" t="s">
        <v>351</v>
      </c>
      <c r="D7" t="s">
        <v>1484</v>
      </c>
    </row>
    <row r="8" spans="1:8">
      <c r="A8" s="37" t="s">
        <v>1486</v>
      </c>
      <c r="C8" t="s">
        <v>351</v>
      </c>
      <c r="D8" t="s">
        <v>1487</v>
      </c>
    </row>
    <row r="9" spans="1:8">
      <c r="A9" s="37" t="s">
        <v>1446</v>
      </c>
      <c r="C9" s="37" t="s">
        <v>351</v>
      </c>
      <c r="D9" s="37" t="s">
        <v>1447</v>
      </c>
      <c r="H9" s="37" t="s">
        <v>1448</v>
      </c>
    </row>
    <row r="10" spans="1:8">
      <c r="A10" t="s">
        <v>1482</v>
      </c>
      <c r="C10" t="s">
        <v>641</v>
      </c>
      <c r="D10" t="s">
        <v>1488</v>
      </c>
    </row>
    <row r="11" spans="1:8">
      <c r="A11" t="s">
        <v>642</v>
      </c>
      <c r="C11" t="s">
        <v>641</v>
      </c>
      <c r="D11" t="s">
        <v>643</v>
      </c>
      <c r="H11" t="s">
        <v>644</v>
      </c>
    </row>
    <row r="13" spans="1:8">
      <c r="A13" s="17" t="str">
        <f>VLOOKUP("txtRelatedDocuDmTec1",LangRange,LangID,FALSE)</f>
        <v>For latest versions of these documents check at DmTec or DocManager!</v>
      </c>
    </row>
    <row r="14" spans="1:8">
      <c r="A14" s="17" t="str">
        <f>VLOOKUP("txtRelatedDocuDmTec2",LangRange,LangID,FALSE)</f>
        <v>Suppliers: please contact your Tool Project Manager to obtain latest version of the supplier documentation.</v>
      </c>
    </row>
    <row r="17" spans="1:1">
      <c r="A17" s="17" t="str">
        <f>VLOOKUP("txtTypicErrorTitle",LangRange,LangID,FALSE)</f>
        <v>Please avoid those typical errors with providing the dimensional report:</v>
      </c>
    </row>
    <row r="18" spans="1:1">
      <c r="A18" t="str">
        <f>VLOOKUP("txtTypicError01",LangRange,LangID,FALSE)</f>
        <v>Master data in DocManager has an incorrect name.</v>
      </c>
    </row>
    <row r="19" spans="1:1">
      <c r="A19" t="str">
        <f>VLOOKUP("txtTypicError02",LangRange,LangID,FALSE)</f>
        <v>New object created in DocManager for the Dimensional Report instead of revising the existing one.</v>
      </c>
    </row>
    <row r="20" spans="1:1">
      <c r="A20" t="str">
        <f>VLOOKUP("txtTypicError03",LangRange,LangID,FALSE)</f>
        <v>Excel file has an incorrect name.</v>
      </c>
    </row>
    <row r="21" spans="1:1">
      <c r="A21" t="str">
        <f>VLOOKUP("txtTypicError04",LangRange,LangID,FALSE)</f>
        <v>Header data incorrect/ incomplete.</v>
      </c>
    </row>
    <row r="22" spans="1:1">
      <c r="A22" t="str">
        <f>VLOOKUP("txtTypicError05",LangRange,LangID,FALSE)</f>
        <v>Numbering of positions not correct/ doesn't mirror the numbers on the drawing.</v>
      </c>
    </row>
    <row r="23" spans="1:1">
      <c r="A23" t="str">
        <f>VLOOKUP("txtTypicError06",LangRange,LangID,FALSE)</f>
        <v>Measuring drawing is inserted into dimensional report. Only insert pictures or an extract:</v>
      </c>
    </row>
    <row r="24" spans="1:1">
      <c r="A24" t="str">
        <f>VLOOKUP("txtTypicError07",LangRange,LangID,FALSE)</f>
        <v xml:space="preserve">   explaining orientation and coordinates of measured part. Measurement drawings should be attached</v>
      </c>
    </row>
    <row r="25" spans="1:1">
      <c r="A25" t="str">
        <f>VLOOKUP("txtTypicError08",LangRange,LangID,FALSE)</f>
        <v xml:space="preserve">  as seperate document towards the dimensional report within DM.TEC (menu "actions" \ "Add content…").</v>
      </c>
    </row>
    <row r="26" spans="1:1">
      <c r="A26" t="str">
        <f>VLOOKUP("txtTypicError09",LangRange,LangID,FALSE)</f>
        <v>Measuring of shapes and orientation incorrect or mistakable.</v>
      </c>
    </row>
    <row r="27" spans="1:1">
      <c r="A27" t="str">
        <f>VLOOKUP("txtTypicError10",LangRange,LangID,FALSE)</f>
        <v>Measuring incomplete, positions are missing.</v>
      </c>
    </row>
    <row r="28" spans="1:1">
      <c r="A28" t="str">
        <f>VLOOKUP("txtTypicError11",LangRange,LangID,FALSE)</f>
        <v>Form is modified in forbidden way.</v>
      </c>
    </row>
    <row r="29" spans="1:1">
      <c r="A29" t="str">
        <f>VLOOKUP("txtTypicError12",LangRange,LangID,FALSE)</f>
        <v>Conditional formats are deleted or overwritten in form.</v>
      </c>
    </row>
    <row r="30" spans="1:1">
      <c r="A30" t="str">
        <f>VLOOKUP("txtTypicError13",LangRange,LangID,FALSE)</f>
        <v>Dimensions from previous measuring are missing.</v>
      </c>
    </row>
    <row r="31" spans="1:1">
      <c r="A31" t="str">
        <f>VLOOKUP("txtTypicError14",LangRange,LangID,FALSE)</f>
        <v>New columns are entered to add new measurement result to the preceding measuring.</v>
      </c>
    </row>
    <row r="32" spans="1:1">
      <c r="A32" t="str">
        <f>VLOOKUP("txtTypicError15",LangRange,LangID,FALSE)</f>
        <v>Dimensions and tolerances are transferred incorrectly from measuring drawing.</v>
      </c>
    </row>
    <row r="33" spans="1:1">
      <c r="A33" t="str">
        <f>VLOOKUP("txtTypicError16",LangRange,LangID,FALSE)</f>
        <v>Check measuring results for obviously incorrect values.</v>
      </c>
    </row>
    <row r="34" spans="1:1">
      <c r="A34" t="str">
        <f>VLOOKUP("txtTypicError17",LangRange,LangID,FALSE)</f>
        <v>Check measuring results if several results are identical in ALL decimal places, even in 1/100.</v>
      </c>
    </row>
    <row r="35" spans="1:1">
      <c r="A35" t="str">
        <f>VLOOKUP("txtTypicError18",LangRange,LangID,FALSE)</f>
        <v>Dimensional Report contains links towards other files.</v>
      </c>
    </row>
    <row r="38" spans="1:1" ht="17.399999999999999">
      <c r="A38" s="43" t="str">
        <f>VLOOKUP("txtRelatedDocuPSW1",LangRange,LangID,FALSE)</f>
        <v>Handling the PSW:</v>
      </c>
    </row>
    <row r="39" spans="1:1">
      <c r="A39" s="37" t="str">
        <f>VLOOKUP("txtRelatedDocuPSW2",LangRange,LangID,FALSE)</f>
        <v>Note: The PSW is required from suppliers, only.</v>
      </c>
    </row>
    <row r="40" spans="1:1">
      <c r="A40" s="37" t="str">
        <f>VLOOKUP("txtRelatedDocuPSW3",LangRange,LangID,FALSE)</f>
        <v>Fill out the PSW form (sheet "PSW template")</v>
      </c>
    </row>
    <row r="41" spans="1:1">
      <c r="A41" s="37" t="str">
        <f>VLOOKUP("txtRelatedDocuPSW4",LangRange,LangID,FALSE)</f>
        <v>Print out the form</v>
      </c>
    </row>
    <row r="42" spans="1:1">
      <c r="A42" s="37" t="str">
        <f>VLOOKUP("txtRelatedDocuPSW5",LangRange,LangID,FALSE)</f>
        <v>! Sign the paper print !</v>
      </c>
    </row>
    <row r="43" spans="1:1">
      <c r="A43" s="37" t="str">
        <f>VLOOKUP("txtRelatedDocuPSW6",LangRange,LangID,FALSE)</f>
        <v>Scan the signed print. Prefer *.jpg. Don't use *.bmp!</v>
      </c>
    </row>
    <row r="44" spans="1:1">
      <c r="A44" s="37" t="str">
        <f>VLOOKUP("txtRelatedDocuPSW7",LangRange,LangID,FALSE)</f>
        <v>Copy&amp;Paste the scan into the sheet "PSW".</v>
      </c>
    </row>
    <row r="45" spans="1:1" ht="15.6">
      <c r="A45" s="265"/>
    </row>
    <row r="46" spans="1:1" ht="17.399999999999999">
      <c r="A46" s="43" t="str">
        <f>VLOOKUP("txtRelatedDocuPSWExample",LangRange,LangID,FALSE)</f>
        <v>Example for a completed PSW:</v>
      </c>
    </row>
  </sheetData>
  <phoneticPr fontId="4" type="noConversion"/>
  <pageMargins left="0.27559055118110237" right="0.19685039370078741" top="0.98425196850393704" bottom="0.98425196850393704" header="0.51181102362204722" footer="0.51181102362204722"/>
  <pageSetup paperSize="9" scale="40" orientation="portrait" r:id="rId1"/>
  <headerFooter alignWithMargins="0">
    <oddHeader>&amp;LDimensional Report&amp;RPE-AUT-AV-00011-001 Rev. D13</oddHeader>
    <oddFooter>&amp;L&amp;A&amp;RPage &amp;P of &amp;N, printed: &amp;D
&amp;F</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9">
    <pageSetUpPr fitToPage="1"/>
  </sheetPr>
  <dimension ref="C18:C24"/>
  <sheetViews>
    <sheetView workbookViewId="0">
      <selection activeCell="C5" sqref="C5"/>
    </sheetView>
  </sheetViews>
  <sheetFormatPr defaultColWidth="11.44140625" defaultRowHeight="13.2"/>
  <sheetData>
    <row r="18" spans="3:3" ht="17.399999999999999">
      <c r="C18" s="43" t="str">
        <f>VLOOKUP("txtRelatedDocuPSW1",LangRange,LangID,FALSE)</f>
        <v>Handling the PSW:</v>
      </c>
    </row>
    <row r="19" spans="3:3">
      <c r="C19" s="37" t="str">
        <f>VLOOKUP("txtRelatedDocuPSW2",LangRange,LangID,FALSE)</f>
        <v>Note: The PSW is required from suppliers, only.</v>
      </c>
    </row>
    <row r="20" spans="3:3">
      <c r="C20" s="37" t="str">
        <f>VLOOKUP("txtRelatedDocuPSW3",LangRange,LangID,FALSE)</f>
        <v>Fill out the PSW form (sheet "PSW template")</v>
      </c>
    </row>
    <row r="21" spans="3:3">
      <c r="C21" s="37" t="str">
        <f>VLOOKUP("txtRelatedDocuPSW4",LangRange,LangID,FALSE)</f>
        <v>Print out the form</v>
      </c>
    </row>
    <row r="22" spans="3:3">
      <c r="C22" s="37" t="str">
        <f>VLOOKUP("txtRelatedDocuPSW5",LangRange,LangID,FALSE)</f>
        <v>! Sign the paper print !</v>
      </c>
    </row>
    <row r="23" spans="3:3">
      <c r="C23" s="37" t="str">
        <f>VLOOKUP("txtRelatedDocuPSW6",LangRange,LangID,FALSE)</f>
        <v>Scan the signed print. Prefer *.jpg. Don't use *.bmp!</v>
      </c>
    </row>
    <row r="24" spans="3:3">
      <c r="C24" s="37" t="str">
        <f>VLOOKUP("txtRelatedDocuPSW7",LangRange,LangID,FALSE)</f>
        <v>Copy&amp;Paste the scan into the sheet "PSW".</v>
      </c>
    </row>
  </sheetData>
  <sheetProtection formatColumns="0" formatRows="0" autoFilter="0"/>
  <phoneticPr fontId="4" type="noConversion"/>
  <pageMargins left="0.27559055118110237" right="0.19685039370078741" top="0.98425196850393704" bottom="0.98425196850393704" header="0.51181102362204722" footer="0.51181102362204722"/>
  <pageSetup paperSize="9" orientation="portrait" r:id="rId1"/>
  <headerFooter alignWithMargins="0">
    <oddHeader>&amp;LDimensional Report&amp;RPE-AUT-AV-00011-001 Rev. D13</oddHeader>
    <oddFooter>&amp;L&amp;A&amp;RPage &amp;P of &amp;N, printed: &amp;D
&amp;F</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1">
    <pageSetUpPr fitToPage="1"/>
  </sheetPr>
  <dimension ref="A3:T75"/>
  <sheetViews>
    <sheetView zoomScaleNormal="100" workbookViewId="0">
      <selection activeCell="V21" sqref="V21"/>
    </sheetView>
  </sheetViews>
  <sheetFormatPr defaultColWidth="11.44140625" defaultRowHeight="13.2"/>
  <cols>
    <col min="1" max="20" width="5.6640625" customWidth="1"/>
  </cols>
  <sheetData>
    <row r="3" spans="1:20" ht="22.8">
      <c r="A3" s="208"/>
      <c r="B3" s="208"/>
      <c r="C3" s="208"/>
      <c r="D3" s="209"/>
      <c r="E3" s="208"/>
      <c r="F3" s="208"/>
      <c r="G3" s="208"/>
      <c r="H3" s="210"/>
      <c r="I3" s="211"/>
      <c r="J3" s="211" t="s">
        <v>1015</v>
      </c>
      <c r="K3" s="212"/>
      <c r="L3" s="210"/>
      <c r="M3" s="210"/>
      <c r="N3" s="210"/>
      <c r="O3" s="210"/>
      <c r="P3" s="210"/>
      <c r="Q3" s="210"/>
      <c r="R3" s="210"/>
      <c r="S3" s="210"/>
      <c r="T3" s="213" t="s">
        <v>1016</v>
      </c>
    </row>
    <row r="4" spans="1:20" ht="13.8" thickBot="1">
      <c r="A4" s="214"/>
      <c r="B4" s="215"/>
      <c r="C4" s="214"/>
      <c r="D4" s="214"/>
      <c r="E4" s="214"/>
      <c r="F4" s="214"/>
      <c r="G4" s="214"/>
      <c r="H4" s="214"/>
      <c r="I4" s="214"/>
      <c r="J4" s="214"/>
      <c r="K4" s="214"/>
      <c r="L4" s="214"/>
      <c r="M4" s="214"/>
      <c r="N4" s="214"/>
      <c r="O4" s="214"/>
      <c r="P4" s="214"/>
      <c r="Q4" s="214"/>
      <c r="R4" s="214"/>
      <c r="S4" s="214"/>
      <c r="T4" s="214"/>
    </row>
    <row r="5" spans="1:20">
      <c r="A5" s="216"/>
      <c r="B5" s="217"/>
      <c r="C5" s="218"/>
      <c r="D5" s="218"/>
      <c r="E5" s="218"/>
      <c r="F5" s="218"/>
      <c r="G5" s="218"/>
      <c r="H5" s="218"/>
      <c r="I5" s="218"/>
      <c r="J5" s="218"/>
      <c r="K5" s="218"/>
      <c r="L5" s="218"/>
      <c r="M5" s="218"/>
      <c r="N5" s="218"/>
      <c r="O5" s="218"/>
      <c r="P5" s="218"/>
      <c r="Q5" s="218"/>
      <c r="R5" s="218"/>
      <c r="S5" s="218"/>
      <c r="T5" s="219"/>
    </row>
    <row r="6" spans="1:20">
      <c r="A6" s="207"/>
      <c r="B6" s="220" t="s">
        <v>1017</v>
      </c>
      <c r="C6" s="210"/>
      <c r="D6" s="409" t="s">
        <v>1018</v>
      </c>
      <c r="E6" s="409"/>
      <c r="F6" s="409"/>
      <c r="G6" s="409"/>
      <c r="H6" s="409"/>
      <c r="I6" s="409"/>
      <c r="J6" s="409"/>
      <c r="K6" s="409"/>
      <c r="L6" s="410" t="s">
        <v>1019</v>
      </c>
      <c r="M6" s="411"/>
      <c r="N6" s="411"/>
      <c r="O6" s="412" t="s">
        <v>1018</v>
      </c>
      <c r="P6" s="412"/>
      <c r="Q6" s="412"/>
      <c r="R6" s="412"/>
      <c r="S6" s="412"/>
      <c r="T6" s="224"/>
    </row>
    <row r="7" spans="1:20">
      <c r="A7" s="207"/>
      <c r="B7" s="220"/>
      <c r="C7" s="210"/>
      <c r="D7" s="225"/>
      <c r="E7" s="225"/>
      <c r="F7" s="225"/>
      <c r="G7" s="225"/>
      <c r="H7" s="225"/>
      <c r="I7" s="225"/>
      <c r="J7" s="225"/>
      <c r="K7" s="225"/>
      <c r="L7" s="222"/>
      <c r="M7" s="223"/>
      <c r="N7" s="223"/>
      <c r="O7" s="225"/>
      <c r="P7" s="225"/>
      <c r="Q7" s="225"/>
      <c r="R7" s="225"/>
      <c r="S7" s="225"/>
      <c r="T7" s="224"/>
    </row>
    <row r="8" spans="1:20">
      <c r="A8" s="207"/>
      <c r="B8" s="220" t="s">
        <v>1020</v>
      </c>
      <c r="C8" s="210"/>
      <c r="D8" s="210"/>
      <c r="E8" s="210"/>
      <c r="F8" s="409"/>
      <c r="G8" s="409"/>
      <c r="H8" s="409"/>
      <c r="I8" s="409"/>
      <c r="J8" s="409"/>
      <c r="K8" s="409"/>
      <c r="L8" s="413" t="s">
        <v>1021</v>
      </c>
      <c r="M8" s="413"/>
      <c r="N8" s="413"/>
      <c r="O8" s="412" t="s">
        <v>1018</v>
      </c>
      <c r="P8" s="412"/>
      <c r="Q8" s="412"/>
      <c r="R8" s="412"/>
      <c r="S8" s="412"/>
      <c r="T8" s="224"/>
    </row>
    <row r="9" spans="1:20">
      <c r="A9" s="207"/>
      <c r="B9" s="220"/>
      <c r="C9" s="210"/>
      <c r="D9" s="210"/>
      <c r="E9" s="210"/>
      <c r="F9" s="210"/>
      <c r="G9" s="210"/>
      <c r="H9" s="210"/>
      <c r="I9" s="210"/>
      <c r="J9" s="210"/>
      <c r="K9" s="210"/>
      <c r="L9" s="210"/>
      <c r="M9" s="210"/>
      <c r="N9" s="210"/>
      <c r="O9" s="210"/>
      <c r="P9" s="210"/>
      <c r="Q9" s="210"/>
      <c r="R9" s="210"/>
      <c r="S9" s="210"/>
      <c r="T9" s="224"/>
    </row>
    <row r="10" spans="1:20">
      <c r="A10" s="207"/>
      <c r="B10" s="226" t="s">
        <v>1022</v>
      </c>
      <c r="C10" s="226"/>
      <c r="D10" s="226"/>
      <c r="E10" s="226"/>
      <c r="F10" s="210"/>
      <c r="G10" s="412"/>
      <c r="H10" s="412"/>
      <c r="I10" s="412"/>
      <c r="J10" s="412"/>
      <c r="K10" s="412"/>
      <c r="L10" s="412"/>
      <c r="M10" s="222"/>
      <c r="N10" s="222" t="s">
        <v>1023</v>
      </c>
      <c r="O10" s="412" t="s">
        <v>1018</v>
      </c>
      <c r="P10" s="412"/>
      <c r="Q10" s="412"/>
      <c r="R10" s="412"/>
      <c r="S10" s="412"/>
      <c r="T10" s="224"/>
    </row>
    <row r="11" spans="1:20">
      <c r="A11" s="207"/>
      <c r="B11" s="210"/>
      <c r="C11" s="210"/>
      <c r="D11" s="210"/>
      <c r="E11" s="210"/>
      <c r="F11" s="210"/>
      <c r="G11" s="210"/>
      <c r="H11" s="210"/>
      <c r="I11" s="210"/>
      <c r="J11" s="210"/>
      <c r="K11" s="210"/>
      <c r="L11" s="210"/>
      <c r="M11" s="210"/>
      <c r="N11" s="210"/>
      <c r="O11" s="210"/>
      <c r="P11" s="210"/>
      <c r="Q11" s="210"/>
      <c r="R11" s="210"/>
      <c r="S11" s="210"/>
      <c r="T11" s="224"/>
    </row>
    <row r="12" spans="1:20">
      <c r="A12" s="207"/>
      <c r="B12" s="220" t="s">
        <v>1024</v>
      </c>
      <c r="C12" s="210"/>
      <c r="D12" s="210"/>
      <c r="E12" s="210"/>
      <c r="F12" s="210"/>
      <c r="G12" s="414" t="s">
        <v>1018</v>
      </c>
      <c r="H12" s="414"/>
      <c r="I12" s="414"/>
      <c r="J12" s="414"/>
      <c r="K12" s="414"/>
      <c r="L12" s="414"/>
      <c r="M12" s="222"/>
      <c r="N12" s="222" t="s">
        <v>1023</v>
      </c>
      <c r="O12" s="412"/>
      <c r="P12" s="412"/>
      <c r="Q12" s="412"/>
      <c r="R12" s="412"/>
      <c r="S12" s="412"/>
      <c r="T12" s="224"/>
    </row>
    <row r="13" spans="1:20">
      <c r="A13" s="207"/>
      <c r="B13" s="220"/>
      <c r="C13" s="210"/>
      <c r="D13" s="210"/>
      <c r="E13" s="210"/>
      <c r="F13" s="210"/>
      <c r="G13" s="227"/>
      <c r="H13" s="210"/>
      <c r="I13" s="210"/>
      <c r="J13" s="210"/>
      <c r="K13" s="210"/>
      <c r="L13" s="210"/>
      <c r="M13" s="210"/>
      <c r="N13" s="210"/>
      <c r="O13" s="210"/>
      <c r="P13" s="210"/>
      <c r="Q13" s="228"/>
      <c r="R13" s="228"/>
      <c r="S13" s="228"/>
      <c r="T13" s="224"/>
    </row>
    <row r="14" spans="1:20">
      <c r="A14" s="207"/>
      <c r="B14" s="220"/>
      <c r="C14" s="210"/>
      <c r="D14" s="210"/>
      <c r="E14" s="210"/>
      <c r="F14" s="210"/>
      <c r="G14" s="210"/>
      <c r="H14" s="210"/>
      <c r="I14" s="210"/>
      <c r="J14" s="210"/>
      <c r="K14" s="210"/>
      <c r="L14" s="210"/>
      <c r="M14" s="210"/>
      <c r="N14" s="210"/>
      <c r="O14" s="210"/>
      <c r="P14" s="210"/>
      <c r="Q14" s="210"/>
      <c r="R14" s="210"/>
      <c r="S14" s="210"/>
      <c r="T14" s="224"/>
    </row>
    <row r="15" spans="1:20">
      <c r="A15" s="207"/>
      <c r="B15" s="229" t="s">
        <v>1025</v>
      </c>
      <c r="C15" s="210"/>
      <c r="D15" s="210"/>
      <c r="E15" s="210"/>
      <c r="F15" s="210"/>
      <c r="G15" s="210"/>
      <c r="H15" s="210"/>
      <c r="I15" s="210"/>
      <c r="J15" s="210"/>
      <c r="K15" s="210"/>
      <c r="L15" s="210"/>
      <c r="M15" s="222" t="s">
        <v>1026</v>
      </c>
      <c r="N15" s="415"/>
      <c r="O15" s="415"/>
      <c r="P15" s="210"/>
      <c r="Q15" s="222" t="s">
        <v>1027</v>
      </c>
      <c r="R15" s="416"/>
      <c r="S15" s="409"/>
      <c r="T15" s="224"/>
    </row>
    <row r="16" spans="1:20">
      <c r="A16" s="207"/>
      <c r="B16" s="210"/>
      <c r="C16" s="210"/>
      <c r="D16" s="210"/>
      <c r="E16" s="210"/>
      <c r="F16" s="210"/>
      <c r="G16" s="210"/>
      <c r="H16" s="210"/>
      <c r="I16" s="210"/>
      <c r="J16" s="210"/>
      <c r="K16" s="210"/>
      <c r="L16" s="210"/>
      <c r="M16" s="210"/>
      <c r="N16" s="210"/>
      <c r="O16" s="210"/>
      <c r="P16" s="210"/>
      <c r="Q16" s="210"/>
      <c r="R16" s="210"/>
      <c r="S16" s="210"/>
      <c r="T16" s="224"/>
    </row>
    <row r="17" spans="1:20">
      <c r="A17" s="207"/>
      <c r="B17" s="220" t="s">
        <v>1028</v>
      </c>
      <c r="C17" s="210"/>
      <c r="D17" s="210"/>
      <c r="E17" s="418"/>
      <c r="F17" s="418"/>
      <c r="G17" s="418"/>
      <c r="H17" s="220" t="s">
        <v>1029</v>
      </c>
      <c r="I17" s="220"/>
      <c r="J17" s="210"/>
      <c r="K17" s="210"/>
      <c r="L17" s="210"/>
      <c r="M17" s="210"/>
      <c r="N17" s="412"/>
      <c r="O17" s="412"/>
      <c r="P17" s="412"/>
      <c r="Q17" s="228" t="s">
        <v>1023</v>
      </c>
      <c r="R17" s="416"/>
      <c r="S17" s="416"/>
      <c r="T17" s="224"/>
    </row>
    <row r="18" spans="1:20">
      <c r="A18" s="207"/>
      <c r="B18" s="210"/>
      <c r="C18" s="210"/>
      <c r="D18" s="210"/>
      <c r="E18" s="210"/>
      <c r="F18" s="210"/>
      <c r="G18" s="210"/>
      <c r="H18" s="210"/>
      <c r="I18" s="210"/>
      <c r="J18" s="210"/>
      <c r="K18" s="210"/>
      <c r="L18" s="210"/>
      <c r="M18" s="210"/>
      <c r="N18" s="210"/>
      <c r="O18" s="210"/>
      <c r="P18" s="210"/>
      <c r="Q18" s="210"/>
      <c r="R18" s="210"/>
      <c r="S18" s="210"/>
      <c r="T18" s="224"/>
    </row>
    <row r="19" spans="1:20">
      <c r="A19" s="207"/>
      <c r="B19" s="230" t="s">
        <v>1030</v>
      </c>
      <c r="C19" s="231"/>
      <c r="D19" s="231"/>
      <c r="E19" s="231"/>
      <c r="F19" s="231"/>
      <c r="G19" s="231"/>
      <c r="H19" s="231"/>
      <c r="I19" s="210"/>
      <c r="J19" s="210"/>
      <c r="K19" s="232"/>
      <c r="L19" s="230" t="s">
        <v>1031</v>
      </c>
      <c r="M19" s="210"/>
      <c r="N19" s="210"/>
      <c r="O19" s="210"/>
      <c r="P19" s="210"/>
      <c r="Q19" s="210"/>
      <c r="R19" s="210"/>
      <c r="S19" s="210"/>
      <c r="T19" s="224"/>
    </row>
    <row r="20" spans="1:20">
      <c r="A20" s="207"/>
      <c r="B20" s="210"/>
      <c r="C20" s="210"/>
      <c r="D20" s="210"/>
      <c r="E20" s="210"/>
      <c r="F20" s="210"/>
      <c r="G20" s="210"/>
      <c r="H20" s="210"/>
      <c r="I20" s="210"/>
      <c r="J20" s="210"/>
      <c r="K20" s="210"/>
      <c r="L20" s="210"/>
      <c r="M20" s="210"/>
      <c r="N20" s="210"/>
      <c r="O20" s="210"/>
      <c r="P20" s="210"/>
      <c r="Q20" s="210"/>
      <c r="R20" s="210"/>
      <c r="S20" s="210"/>
      <c r="T20" s="224"/>
    </row>
    <row r="21" spans="1:20" ht="15.6">
      <c r="A21" s="207"/>
      <c r="B21" s="419"/>
      <c r="C21" s="409"/>
      <c r="D21" s="409"/>
      <c r="E21" s="409"/>
      <c r="F21" s="409"/>
      <c r="G21" s="409"/>
      <c r="H21" s="420" t="s">
        <v>1032</v>
      </c>
      <c r="I21" s="420"/>
      <c r="J21" s="210"/>
      <c r="K21" s="220"/>
      <c r="L21" s="409"/>
      <c r="M21" s="409"/>
      <c r="N21" s="409"/>
      <c r="O21" s="409"/>
      <c r="P21" s="409"/>
      <c r="Q21" s="409"/>
      <c r="R21" s="409"/>
      <c r="S21" s="409"/>
      <c r="T21" s="224"/>
    </row>
    <row r="22" spans="1:20">
      <c r="A22" s="207"/>
      <c r="B22" s="220" t="s">
        <v>1033</v>
      </c>
      <c r="C22" s="210"/>
      <c r="D22" s="210"/>
      <c r="E22" s="210"/>
      <c r="F22" s="210"/>
      <c r="G22" s="220" t="s">
        <v>1018</v>
      </c>
      <c r="H22" s="210"/>
      <c r="I22" s="210"/>
      <c r="J22" s="210"/>
      <c r="K22" s="210"/>
      <c r="L22" s="226" t="s">
        <v>1034</v>
      </c>
      <c r="M22" s="210"/>
      <c r="N22" s="210"/>
      <c r="O22" s="210"/>
      <c r="P22" s="210"/>
      <c r="Q22" s="210"/>
      <c r="R22" s="210"/>
      <c r="S22" s="210"/>
      <c r="T22" s="224"/>
    </row>
    <row r="23" spans="1:20">
      <c r="A23" s="207"/>
      <c r="B23" s="210"/>
      <c r="C23" s="210"/>
      <c r="D23" s="210"/>
      <c r="E23" s="210"/>
      <c r="F23" s="210"/>
      <c r="G23" s="210"/>
      <c r="H23" s="210"/>
      <c r="I23" s="210"/>
      <c r="J23" s="210"/>
      <c r="K23" s="210"/>
      <c r="L23" s="210"/>
      <c r="M23" s="210"/>
      <c r="N23" s="210"/>
      <c r="O23" s="210"/>
      <c r="P23" s="210"/>
      <c r="Q23" s="210"/>
      <c r="R23" s="210"/>
      <c r="S23" s="210"/>
      <c r="T23" s="224"/>
    </row>
    <row r="24" spans="1:20">
      <c r="A24" s="207"/>
      <c r="B24" s="409"/>
      <c r="C24" s="409"/>
      <c r="D24" s="409"/>
      <c r="E24" s="409"/>
      <c r="F24" s="409"/>
      <c r="G24" s="409"/>
      <c r="H24" s="409"/>
      <c r="I24" s="409"/>
      <c r="J24" s="210"/>
      <c r="K24" s="210"/>
      <c r="L24" s="409"/>
      <c r="M24" s="409"/>
      <c r="N24" s="409"/>
      <c r="O24" s="409"/>
      <c r="P24" s="409"/>
      <c r="Q24" s="409"/>
      <c r="R24" s="409"/>
      <c r="S24" s="409"/>
      <c r="T24" s="224"/>
    </row>
    <row r="25" spans="1:20">
      <c r="A25" s="207"/>
      <c r="B25" s="220" t="s">
        <v>1035</v>
      </c>
      <c r="C25" s="210"/>
      <c r="D25" s="210"/>
      <c r="E25" s="210"/>
      <c r="F25" s="210"/>
      <c r="G25" s="210"/>
      <c r="H25" s="210"/>
      <c r="I25" s="210"/>
      <c r="J25" s="210"/>
      <c r="K25" s="210"/>
      <c r="L25" s="220" t="s">
        <v>1036</v>
      </c>
      <c r="M25" s="210"/>
      <c r="N25" s="210"/>
      <c r="O25" s="210"/>
      <c r="P25" s="210"/>
      <c r="Q25" s="210"/>
      <c r="R25" s="210"/>
      <c r="S25" s="210"/>
      <c r="T25" s="224"/>
    </row>
    <row r="26" spans="1:20">
      <c r="A26" s="207"/>
      <c r="B26" s="210"/>
      <c r="C26" s="210"/>
      <c r="D26" s="210"/>
      <c r="E26" s="210"/>
      <c r="F26" s="210"/>
      <c r="G26" s="210"/>
      <c r="H26" s="210"/>
      <c r="I26" s="210"/>
      <c r="J26" s="210"/>
      <c r="K26" s="210"/>
      <c r="L26" s="210"/>
      <c r="M26" s="210"/>
      <c r="N26" s="227"/>
      <c r="O26" s="227"/>
      <c r="P26" s="227"/>
      <c r="Q26" s="227"/>
      <c r="R26" s="227"/>
      <c r="S26" s="227"/>
      <c r="T26" s="224"/>
    </row>
    <row r="27" spans="1:20">
      <c r="A27" s="207"/>
      <c r="B27" s="221"/>
      <c r="C27" s="233"/>
      <c r="D27" s="409"/>
      <c r="E27" s="409"/>
      <c r="F27" s="421"/>
      <c r="G27" s="421"/>
      <c r="H27" s="233"/>
      <c r="I27" s="234"/>
      <c r="J27" s="210"/>
      <c r="K27" s="210"/>
      <c r="L27" s="409"/>
      <c r="M27" s="409"/>
      <c r="N27" s="409"/>
      <c r="O27" s="409"/>
      <c r="P27" s="409"/>
      <c r="Q27" s="409"/>
      <c r="R27" s="409"/>
      <c r="S27" s="409"/>
      <c r="T27" s="224"/>
    </row>
    <row r="28" spans="1:20">
      <c r="A28" s="207"/>
      <c r="B28" s="220" t="s">
        <v>1037</v>
      </c>
      <c r="C28" s="210"/>
      <c r="D28" s="417" t="s">
        <v>1038</v>
      </c>
      <c r="E28" s="417"/>
      <c r="F28" s="210"/>
      <c r="G28" s="235" t="s">
        <v>1039</v>
      </c>
      <c r="H28" s="228"/>
      <c r="I28" s="228" t="s">
        <v>1040</v>
      </c>
      <c r="J28" s="210"/>
      <c r="K28" s="210"/>
      <c r="L28" s="220" t="s">
        <v>1041</v>
      </c>
      <c r="M28" s="210"/>
      <c r="N28" s="210"/>
      <c r="O28" s="210"/>
      <c r="P28" s="210"/>
      <c r="Q28" s="210"/>
      <c r="R28" s="210"/>
      <c r="S28" s="210"/>
      <c r="T28" s="224"/>
    </row>
    <row r="29" spans="1:20">
      <c r="A29" s="207"/>
      <c r="B29" s="220"/>
      <c r="C29" s="210"/>
      <c r="D29" s="228"/>
      <c r="E29" s="228"/>
      <c r="F29" s="210"/>
      <c r="G29" s="235"/>
      <c r="H29" s="228"/>
      <c r="I29" s="228"/>
      <c r="J29" s="210"/>
      <c r="K29" s="210"/>
      <c r="L29" s="220"/>
      <c r="M29" s="210"/>
      <c r="N29" s="210"/>
      <c r="O29" s="210"/>
      <c r="P29" s="210"/>
      <c r="Q29" s="210"/>
      <c r="R29" s="210"/>
      <c r="S29" s="210"/>
      <c r="T29" s="224"/>
    </row>
    <row r="30" spans="1:20">
      <c r="A30" s="207"/>
      <c r="B30" s="236" t="s">
        <v>1042</v>
      </c>
      <c r="C30" s="210"/>
      <c r="D30" s="210"/>
      <c r="E30" s="210"/>
      <c r="F30" s="210"/>
      <c r="G30" s="210"/>
      <c r="H30" s="210"/>
      <c r="I30" s="210"/>
      <c r="J30" s="210"/>
      <c r="K30" s="210"/>
      <c r="L30" s="210"/>
      <c r="M30" s="210"/>
      <c r="N30" s="210"/>
      <c r="O30" s="210"/>
      <c r="P30" s="210"/>
      <c r="Q30" s="210"/>
      <c r="R30" s="210"/>
      <c r="S30" s="210"/>
      <c r="T30" s="224"/>
    </row>
    <row r="31" spans="1:20">
      <c r="A31" s="207"/>
      <c r="B31" s="229" t="s">
        <v>1043</v>
      </c>
      <c r="C31" s="210"/>
      <c r="D31" s="210"/>
      <c r="E31" s="210"/>
      <c r="F31" s="210"/>
      <c r="G31" s="210"/>
      <c r="H31" s="210"/>
      <c r="I31" s="210"/>
      <c r="J31" s="210"/>
      <c r="K31" s="210"/>
      <c r="L31" s="210"/>
      <c r="M31" s="229" t="s">
        <v>1044</v>
      </c>
      <c r="N31" s="210"/>
      <c r="O31" s="229" t="s">
        <v>1045</v>
      </c>
      <c r="P31" s="210"/>
      <c r="Q31" s="229" t="s">
        <v>1046</v>
      </c>
      <c r="R31" s="210"/>
      <c r="S31" s="210"/>
      <c r="T31" s="224"/>
    </row>
    <row r="32" spans="1:20">
      <c r="A32" s="207"/>
      <c r="B32" s="210"/>
      <c r="C32" s="210"/>
      <c r="D32" s="210"/>
      <c r="E32" s="229" t="s">
        <v>1047</v>
      </c>
      <c r="F32" s="210"/>
      <c r="G32" s="210"/>
      <c r="H32" s="210"/>
      <c r="I32" s="210"/>
      <c r="J32" s="210"/>
      <c r="K32" s="423"/>
      <c r="L32" s="423"/>
      <c r="M32" s="423"/>
      <c r="N32" s="423"/>
      <c r="O32" s="423"/>
      <c r="P32" s="423"/>
      <c r="Q32" s="423"/>
      <c r="R32" s="423"/>
      <c r="S32" s="423"/>
      <c r="T32" s="224"/>
    </row>
    <row r="33" spans="1:20">
      <c r="A33" s="207"/>
      <c r="B33" s="210"/>
      <c r="C33" s="210"/>
      <c r="D33" s="210"/>
      <c r="E33" s="229"/>
      <c r="F33" s="210"/>
      <c r="G33" s="210"/>
      <c r="H33" s="210"/>
      <c r="I33" s="210"/>
      <c r="J33" s="210"/>
      <c r="K33" s="423"/>
      <c r="L33" s="423"/>
      <c r="M33" s="423"/>
      <c r="N33" s="423"/>
      <c r="O33" s="423"/>
      <c r="P33" s="423"/>
      <c r="Q33" s="423"/>
      <c r="R33" s="423"/>
      <c r="S33" s="423"/>
      <c r="T33" s="224"/>
    </row>
    <row r="34" spans="1:20">
      <c r="A34" s="207"/>
      <c r="B34" s="210"/>
      <c r="C34" s="210"/>
      <c r="D34" s="210"/>
      <c r="E34" s="229"/>
      <c r="F34" s="210"/>
      <c r="G34" s="210"/>
      <c r="H34" s="210"/>
      <c r="I34" s="210"/>
      <c r="J34" s="210"/>
      <c r="K34" s="210"/>
      <c r="L34" s="210"/>
      <c r="M34" s="210"/>
      <c r="N34" s="210"/>
      <c r="O34" s="210"/>
      <c r="P34" s="210"/>
      <c r="Q34" s="210"/>
      <c r="R34" s="210"/>
      <c r="S34" s="210"/>
      <c r="T34" s="224"/>
    </row>
    <row r="35" spans="1:20">
      <c r="A35" s="237"/>
      <c r="B35" s="238" t="s">
        <v>1048</v>
      </c>
      <c r="C35" s="227"/>
      <c r="D35" s="227"/>
      <c r="E35" s="227"/>
      <c r="F35" s="227"/>
      <c r="G35" s="227"/>
      <c r="H35" s="227"/>
      <c r="I35" s="227"/>
      <c r="J35" s="227"/>
      <c r="K35" s="227"/>
      <c r="L35" s="210"/>
      <c r="M35" s="229" t="s">
        <v>1044</v>
      </c>
      <c r="N35" s="210"/>
      <c r="O35" s="229" t="s">
        <v>1045</v>
      </c>
      <c r="P35" s="210"/>
      <c r="Q35" s="229" t="s">
        <v>1046</v>
      </c>
      <c r="R35" s="227"/>
      <c r="S35" s="227"/>
      <c r="T35" s="239"/>
    </row>
    <row r="36" spans="1:20">
      <c r="A36" s="240"/>
      <c r="B36" s="241" t="s">
        <v>1049</v>
      </c>
      <c r="C36" s="242"/>
      <c r="D36" s="242"/>
      <c r="E36" s="242"/>
      <c r="F36" s="243"/>
      <c r="G36" s="243"/>
      <c r="H36" s="243"/>
      <c r="I36" s="243"/>
      <c r="J36" s="243"/>
      <c r="K36" s="243"/>
      <c r="L36" s="243"/>
      <c r="M36" s="243"/>
      <c r="N36" s="243"/>
      <c r="O36" s="243"/>
      <c r="P36" s="243"/>
      <c r="Q36" s="243"/>
      <c r="R36" s="243"/>
      <c r="S36" s="243"/>
      <c r="T36" s="244"/>
    </row>
    <row r="37" spans="1:20">
      <c r="A37" s="207"/>
      <c r="B37" s="210"/>
      <c r="C37" s="220" t="s">
        <v>1050</v>
      </c>
      <c r="D37" s="210"/>
      <c r="E37" s="210"/>
      <c r="F37" s="210"/>
      <c r="G37" s="210"/>
      <c r="H37" s="210"/>
      <c r="I37" s="210"/>
      <c r="J37" s="210"/>
      <c r="K37" s="210"/>
      <c r="L37" s="210"/>
      <c r="M37" s="210"/>
      <c r="N37" s="220" t="s">
        <v>1051</v>
      </c>
      <c r="O37" s="210"/>
      <c r="P37" s="210"/>
      <c r="Q37" s="210"/>
      <c r="R37" s="210"/>
      <c r="S37" s="210"/>
      <c r="T37" s="224"/>
    </row>
    <row r="38" spans="1:20">
      <c r="A38" s="207"/>
      <c r="B38" s="210"/>
      <c r="C38" s="220" t="s">
        <v>1052</v>
      </c>
      <c r="D38" s="210"/>
      <c r="E38" s="210"/>
      <c r="F38" s="210"/>
      <c r="G38" s="210"/>
      <c r="H38" s="210"/>
      <c r="I38" s="210"/>
      <c r="J38" s="210"/>
      <c r="K38" s="210"/>
      <c r="L38" s="210"/>
      <c r="M38" s="210"/>
      <c r="N38" s="220" t="s">
        <v>1053</v>
      </c>
      <c r="O38" s="210"/>
      <c r="P38" s="210"/>
      <c r="Q38" s="210"/>
      <c r="R38" s="210"/>
      <c r="S38" s="210"/>
      <c r="T38" s="224"/>
    </row>
    <row r="39" spans="1:20">
      <c r="A39" s="207"/>
      <c r="B39" s="210"/>
      <c r="C39" s="220" t="s">
        <v>1054</v>
      </c>
      <c r="D39" s="210"/>
      <c r="E39" s="210"/>
      <c r="F39" s="210"/>
      <c r="G39" s="210"/>
      <c r="H39" s="210"/>
      <c r="I39" s="210"/>
      <c r="J39" s="210"/>
      <c r="K39" s="210"/>
      <c r="L39" s="210"/>
      <c r="M39" s="210"/>
      <c r="N39" s="220" t="s">
        <v>1055</v>
      </c>
      <c r="O39" s="210"/>
      <c r="P39" s="210"/>
      <c r="Q39" s="210"/>
      <c r="R39" s="210"/>
      <c r="S39" s="210"/>
      <c r="T39" s="224"/>
    </row>
    <row r="40" spans="1:20">
      <c r="A40" s="207"/>
      <c r="B40" s="210"/>
      <c r="C40" s="220" t="s">
        <v>1056</v>
      </c>
      <c r="D40" s="210"/>
      <c r="E40" s="210"/>
      <c r="F40" s="210"/>
      <c r="G40" s="210"/>
      <c r="H40" s="210"/>
      <c r="I40" s="210"/>
      <c r="J40" s="210"/>
      <c r="K40" s="210"/>
      <c r="L40" s="210"/>
      <c r="M40" s="210"/>
      <c r="N40" s="220" t="s">
        <v>1057</v>
      </c>
      <c r="O40" s="210"/>
      <c r="P40" s="210"/>
      <c r="Q40" s="210"/>
      <c r="R40" s="210"/>
      <c r="S40" s="210"/>
      <c r="T40" s="224"/>
    </row>
    <row r="41" spans="1:20">
      <c r="A41" s="207"/>
      <c r="B41" s="210"/>
      <c r="C41" s="220" t="s">
        <v>1058</v>
      </c>
      <c r="D41" s="210"/>
      <c r="E41" s="210"/>
      <c r="F41" s="210"/>
      <c r="G41" s="210"/>
      <c r="H41" s="210"/>
      <c r="I41" s="210"/>
      <c r="J41" s="210"/>
      <c r="K41" s="210"/>
      <c r="L41" s="210"/>
      <c r="M41" s="210"/>
      <c r="N41" s="220" t="s">
        <v>1059</v>
      </c>
      <c r="O41" s="210"/>
      <c r="P41" s="210"/>
      <c r="Q41" s="210"/>
      <c r="R41" s="210"/>
      <c r="S41" s="210"/>
      <c r="T41" s="224"/>
    </row>
    <row r="42" spans="1:20">
      <c r="A42" s="207"/>
      <c r="B42" s="210"/>
      <c r="C42" s="210"/>
      <c r="D42" s="210"/>
      <c r="E42" s="210"/>
      <c r="F42" s="210"/>
      <c r="G42" s="210"/>
      <c r="H42" s="210"/>
      <c r="I42" s="210"/>
      <c r="J42" s="210"/>
      <c r="K42" s="210"/>
      <c r="L42" s="210"/>
      <c r="M42" s="424"/>
      <c r="N42" s="424"/>
      <c r="O42" s="424"/>
      <c r="P42" s="424"/>
      <c r="Q42" s="424"/>
      <c r="R42" s="424"/>
      <c r="S42" s="424"/>
      <c r="T42" s="224"/>
    </row>
    <row r="43" spans="1:20">
      <c r="A43" s="240"/>
      <c r="B43" s="241" t="s">
        <v>1060</v>
      </c>
      <c r="C43" s="243"/>
      <c r="D43" s="243"/>
      <c r="E43" s="243"/>
      <c r="F43" s="243"/>
      <c r="G43" s="243"/>
      <c r="H43" s="243"/>
      <c r="I43" s="243"/>
      <c r="J43" s="243"/>
      <c r="K43" s="243"/>
      <c r="L43" s="243"/>
      <c r="M43" s="243"/>
      <c r="N43" s="243"/>
      <c r="O43" s="243"/>
      <c r="P43" s="243"/>
      <c r="Q43" s="243"/>
      <c r="R43" s="243"/>
      <c r="S43" s="243"/>
      <c r="T43" s="244"/>
    </row>
    <row r="44" spans="1:20">
      <c r="A44" s="207"/>
      <c r="B44" s="210"/>
      <c r="C44" s="220" t="s">
        <v>1061</v>
      </c>
      <c r="D44" s="210"/>
      <c r="E44" s="210"/>
      <c r="F44" s="210"/>
      <c r="G44" s="210"/>
      <c r="H44" s="210"/>
      <c r="I44" s="210"/>
      <c r="J44" s="210"/>
      <c r="K44" s="210"/>
      <c r="L44" s="210"/>
      <c r="M44" s="210"/>
      <c r="N44" s="210"/>
      <c r="O44" s="210"/>
      <c r="P44" s="210"/>
      <c r="Q44" s="210"/>
      <c r="R44" s="210"/>
      <c r="S44" s="210"/>
      <c r="T44" s="224"/>
    </row>
    <row r="45" spans="1:20">
      <c r="A45" s="207"/>
      <c r="B45" s="245"/>
      <c r="C45" s="220" t="s">
        <v>1069</v>
      </c>
      <c r="D45" s="246"/>
      <c r="E45" s="246"/>
      <c r="F45" s="246"/>
      <c r="G45" s="246"/>
      <c r="H45" s="246"/>
      <c r="I45" s="246"/>
      <c r="J45" s="246"/>
      <c r="K45" s="246"/>
      <c r="L45" s="246"/>
      <c r="M45" s="246"/>
      <c r="N45" s="246"/>
      <c r="O45" s="246"/>
      <c r="P45" s="246"/>
      <c r="Q45" s="246"/>
      <c r="R45" s="210"/>
      <c r="S45" s="210"/>
      <c r="T45" s="224"/>
    </row>
    <row r="46" spans="1:20">
      <c r="A46" s="207"/>
      <c r="B46" s="210"/>
      <c r="C46" s="220" t="s">
        <v>1070</v>
      </c>
      <c r="D46" s="210"/>
      <c r="E46" s="210"/>
      <c r="F46" s="210"/>
      <c r="G46" s="210"/>
      <c r="H46" s="210"/>
      <c r="I46" s="210"/>
      <c r="J46" s="210"/>
      <c r="K46" s="210"/>
      <c r="L46" s="210"/>
      <c r="M46" s="210"/>
      <c r="N46" s="210"/>
      <c r="O46" s="210"/>
      <c r="P46" s="210"/>
      <c r="Q46" s="210"/>
      <c r="R46" s="210"/>
      <c r="S46" s="210"/>
      <c r="T46" s="224"/>
    </row>
    <row r="47" spans="1:20">
      <c r="A47" s="207"/>
      <c r="B47" s="245"/>
      <c r="C47" s="229" t="s">
        <v>1071</v>
      </c>
      <c r="D47" s="245"/>
      <c r="E47" s="245"/>
      <c r="F47" s="245"/>
      <c r="G47" s="245"/>
      <c r="H47" s="245"/>
      <c r="I47" s="245"/>
      <c r="J47" s="245"/>
      <c r="K47" s="245"/>
      <c r="L47" s="245"/>
      <c r="M47" s="245"/>
      <c r="N47" s="245"/>
      <c r="O47" s="245"/>
      <c r="P47" s="245"/>
      <c r="Q47" s="245"/>
      <c r="R47" s="210"/>
      <c r="S47" s="210"/>
      <c r="T47" s="224"/>
    </row>
    <row r="48" spans="1:20">
      <c r="A48" s="207"/>
      <c r="B48" s="210"/>
      <c r="C48" s="220" t="s">
        <v>1072</v>
      </c>
      <c r="D48" s="210"/>
      <c r="E48" s="210"/>
      <c r="F48" s="210"/>
      <c r="G48" s="210"/>
      <c r="H48" s="210"/>
      <c r="I48" s="210"/>
      <c r="J48" s="210"/>
      <c r="K48" s="210"/>
      <c r="L48" s="210"/>
      <c r="M48" s="210"/>
      <c r="N48" s="210"/>
      <c r="O48" s="210"/>
      <c r="P48" s="210"/>
      <c r="Q48" s="210"/>
      <c r="R48" s="210"/>
      <c r="S48" s="210"/>
      <c r="T48" s="224"/>
    </row>
    <row r="49" spans="1:20">
      <c r="A49" s="207"/>
      <c r="B49" s="232" t="s">
        <v>1073</v>
      </c>
      <c r="C49" s="247"/>
      <c r="D49" s="247"/>
      <c r="E49" s="247"/>
      <c r="F49" s="247"/>
      <c r="G49" s="247"/>
      <c r="H49" s="247"/>
      <c r="I49" s="247"/>
      <c r="J49" s="247"/>
      <c r="K49" s="247"/>
      <c r="L49" s="247"/>
      <c r="M49" s="247"/>
      <c r="N49" s="247"/>
      <c r="O49" s="247"/>
      <c r="P49" s="247"/>
      <c r="Q49" s="247"/>
      <c r="R49" s="247"/>
      <c r="S49" s="210"/>
      <c r="T49" s="224"/>
    </row>
    <row r="50" spans="1:20">
      <c r="A50" s="207"/>
      <c r="B50" s="248" t="s">
        <v>1074</v>
      </c>
      <c r="C50" s="248"/>
      <c r="D50" s="248"/>
      <c r="E50" s="248" t="s">
        <v>1075</v>
      </c>
      <c r="F50" s="248"/>
      <c r="G50" s="248"/>
      <c r="H50" s="248"/>
      <c r="I50" s="248" t="s">
        <v>1076</v>
      </c>
      <c r="J50" s="248"/>
      <c r="K50" s="248"/>
      <c r="L50" s="248"/>
      <c r="M50" s="248" t="s">
        <v>1077</v>
      </c>
      <c r="N50" s="248"/>
      <c r="O50" s="248"/>
      <c r="P50" s="249" t="s">
        <v>1078</v>
      </c>
      <c r="Q50" s="248"/>
      <c r="R50" s="248"/>
      <c r="S50" s="210"/>
      <c r="T50" s="244"/>
    </row>
    <row r="51" spans="1:20">
      <c r="A51" s="207"/>
      <c r="B51" s="248" t="s">
        <v>1079</v>
      </c>
      <c r="C51" s="248"/>
      <c r="D51" s="248"/>
      <c r="E51" s="248"/>
      <c r="F51" s="248"/>
      <c r="G51" s="248"/>
      <c r="H51" s="248"/>
      <c r="I51" s="250" t="s">
        <v>1044</v>
      </c>
      <c r="J51" s="248"/>
      <c r="K51" s="248" t="s">
        <v>1080</v>
      </c>
      <c r="L51" s="248"/>
      <c r="M51" s="220"/>
      <c r="N51" s="248"/>
      <c r="O51" s="220"/>
      <c r="P51" s="248"/>
      <c r="Q51" s="248"/>
      <c r="R51" s="248"/>
      <c r="S51" s="248"/>
      <c r="T51" s="251"/>
    </row>
    <row r="52" spans="1:20">
      <c r="A52" s="207"/>
      <c r="B52" s="425" t="s">
        <v>1081</v>
      </c>
      <c r="C52" s="426"/>
      <c r="D52" s="426"/>
      <c r="E52" s="426"/>
      <c r="F52" s="426"/>
      <c r="G52" s="426"/>
      <c r="H52" s="426"/>
      <c r="I52" s="426"/>
      <c r="J52" s="427"/>
      <c r="K52" s="427"/>
      <c r="L52" s="427"/>
      <c r="M52" s="427"/>
      <c r="N52" s="427"/>
      <c r="O52" s="427"/>
      <c r="P52" s="427"/>
      <c r="Q52" s="427"/>
      <c r="R52" s="427"/>
      <c r="S52" s="248"/>
      <c r="T52" s="244"/>
    </row>
    <row r="53" spans="1:20">
      <c r="A53" s="207"/>
      <c r="B53" s="236" t="s">
        <v>1082</v>
      </c>
      <c r="C53" s="231"/>
      <c r="D53" s="231"/>
      <c r="E53" s="231"/>
      <c r="F53" s="231"/>
      <c r="G53" s="231"/>
      <c r="H53" s="210"/>
      <c r="I53" s="210"/>
      <c r="J53" s="210"/>
      <c r="K53" s="210"/>
      <c r="L53" s="210"/>
      <c r="M53" s="210"/>
      <c r="N53" s="210"/>
      <c r="O53" s="210"/>
      <c r="P53" s="210"/>
      <c r="Q53" s="210"/>
      <c r="R53" s="210"/>
      <c r="S53" s="210"/>
      <c r="T53" s="224"/>
    </row>
    <row r="54" spans="1:20">
      <c r="A54" s="207"/>
      <c r="B54" s="248" t="s">
        <v>1083</v>
      </c>
      <c r="C54" s="248"/>
      <c r="D54" s="248"/>
      <c r="E54" s="248"/>
      <c r="F54" s="248"/>
      <c r="G54" s="248"/>
      <c r="H54" s="248"/>
      <c r="I54" s="248"/>
      <c r="J54" s="248"/>
      <c r="K54" s="248"/>
      <c r="L54" s="248"/>
      <c r="M54" s="248"/>
      <c r="N54" s="248"/>
      <c r="O54" s="248"/>
      <c r="P54" s="248"/>
      <c r="Q54" s="248"/>
      <c r="R54" s="248"/>
      <c r="S54" s="248"/>
      <c r="T54" s="224"/>
    </row>
    <row r="55" spans="1:20">
      <c r="A55" s="207"/>
      <c r="B55" s="248" t="s">
        <v>1125</v>
      </c>
      <c r="C55" s="248"/>
      <c r="D55" s="248"/>
      <c r="E55" s="248"/>
      <c r="F55" s="248"/>
      <c r="G55" s="248"/>
      <c r="H55" s="248"/>
      <c r="I55" s="248"/>
      <c r="J55" s="248"/>
      <c r="K55" s="248"/>
      <c r="L55" s="248"/>
      <c r="M55" s="248"/>
      <c r="N55" s="248"/>
      <c r="O55" s="248"/>
      <c r="P55" s="248"/>
      <c r="Q55" s="248"/>
      <c r="R55" s="220"/>
      <c r="S55" s="220"/>
      <c r="T55" s="224"/>
    </row>
    <row r="56" spans="1:20">
      <c r="A56" s="207"/>
      <c r="B56" s="248" t="s">
        <v>1084</v>
      </c>
      <c r="C56" s="248"/>
      <c r="D56" s="248"/>
      <c r="E56" s="248"/>
      <c r="F56" s="248"/>
      <c r="G56" s="248"/>
      <c r="H56" s="248"/>
      <c r="I56" s="248"/>
      <c r="J56" s="248"/>
      <c r="K56" s="248"/>
      <c r="L56" s="248"/>
      <c r="M56" s="248"/>
      <c r="N56" s="248"/>
      <c r="O56" s="248"/>
      <c r="P56" s="248"/>
      <c r="Q56" s="248"/>
      <c r="R56" s="248"/>
      <c r="S56" s="248"/>
      <c r="T56" s="224"/>
    </row>
    <row r="57" spans="1:20">
      <c r="A57" s="207"/>
      <c r="B57" s="229" t="s">
        <v>1085</v>
      </c>
      <c r="C57" s="210"/>
      <c r="D57" s="210"/>
      <c r="E57" s="210"/>
      <c r="F57" s="210"/>
      <c r="G57" s="210"/>
      <c r="H57" s="210"/>
      <c r="I57" s="210"/>
      <c r="J57" s="210"/>
      <c r="K57" s="210"/>
      <c r="L57" s="210"/>
      <c r="M57" s="210"/>
      <c r="N57" s="210"/>
      <c r="O57" s="210"/>
      <c r="P57" s="210"/>
      <c r="Q57" s="210"/>
      <c r="R57" s="210"/>
      <c r="S57" s="210"/>
      <c r="T57" s="224"/>
    </row>
    <row r="58" spans="1:20">
      <c r="A58" s="207"/>
      <c r="B58" s="236" t="s">
        <v>1086</v>
      </c>
      <c r="C58" s="252"/>
      <c r="D58" s="252"/>
      <c r="E58" s="252"/>
      <c r="F58" s="428"/>
      <c r="G58" s="428"/>
      <c r="H58" s="428"/>
      <c r="I58" s="428"/>
      <c r="J58" s="428"/>
      <c r="K58" s="428"/>
      <c r="L58" s="428"/>
      <c r="M58" s="428"/>
      <c r="N58" s="428"/>
      <c r="O58" s="428"/>
      <c r="P58" s="428"/>
      <c r="Q58" s="428"/>
      <c r="R58" s="428"/>
      <c r="S58" s="428"/>
      <c r="T58" s="224"/>
    </row>
    <row r="59" spans="1:20">
      <c r="A59" s="207"/>
      <c r="B59" s="422"/>
      <c r="C59" s="422"/>
      <c r="D59" s="429"/>
      <c r="E59" s="429"/>
      <c r="F59" s="430"/>
      <c r="G59" s="430"/>
      <c r="H59" s="430"/>
      <c r="I59" s="430"/>
      <c r="J59" s="430"/>
      <c r="K59" s="430"/>
      <c r="L59" s="430"/>
      <c r="M59" s="430"/>
      <c r="N59" s="430"/>
      <c r="O59" s="430"/>
      <c r="P59" s="430"/>
      <c r="Q59" s="430"/>
      <c r="R59" s="430"/>
      <c r="S59" s="430"/>
      <c r="T59" s="224"/>
    </row>
    <row r="60" spans="1:20">
      <c r="A60" s="207"/>
      <c r="B60" s="229" t="s">
        <v>1087</v>
      </c>
      <c r="C60" s="210"/>
      <c r="D60" s="210"/>
      <c r="E60" s="210"/>
      <c r="F60" s="210"/>
      <c r="G60" s="210"/>
      <c r="H60" s="210"/>
      <c r="I60" s="210"/>
      <c r="J60" s="210"/>
      <c r="K60" s="229" t="s">
        <v>1044</v>
      </c>
      <c r="L60" s="210"/>
      <c r="M60" s="229" t="s">
        <v>1045</v>
      </c>
      <c r="N60" s="210"/>
      <c r="O60" s="210"/>
      <c r="P60" s="210"/>
      <c r="Q60" s="210"/>
      <c r="R60" s="210"/>
      <c r="S60" s="210"/>
      <c r="T60" s="224"/>
    </row>
    <row r="61" spans="1:20">
      <c r="A61" s="207"/>
      <c r="B61" s="220"/>
      <c r="C61" s="210"/>
      <c r="D61" s="210"/>
      <c r="E61" s="210"/>
      <c r="F61" s="210"/>
      <c r="G61" s="210"/>
      <c r="H61" s="210"/>
      <c r="I61" s="210"/>
      <c r="J61" s="210"/>
      <c r="K61" s="210"/>
      <c r="L61" s="210"/>
      <c r="M61" s="210"/>
      <c r="N61" s="210"/>
      <c r="O61" s="210"/>
      <c r="P61" s="210"/>
      <c r="Q61" s="210"/>
      <c r="R61" s="210"/>
      <c r="S61" s="210"/>
      <c r="T61" s="224"/>
    </row>
    <row r="62" spans="1:20">
      <c r="A62" s="207"/>
      <c r="B62" s="220" t="s">
        <v>1088</v>
      </c>
      <c r="C62" s="210"/>
      <c r="D62" s="210"/>
      <c r="E62" s="210"/>
      <c r="F62" s="227"/>
      <c r="G62" s="420"/>
      <c r="H62" s="420"/>
      <c r="I62" s="420"/>
      <c r="J62" s="420"/>
      <c r="K62" s="420"/>
      <c r="L62" s="420"/>
      <c r="M62" s="420"/>
      <c r="N62" s="420"/>
      <c r="O62" s="420"/>
      <c r="P62" s="222" t="s">
        <v>1089</v>
      </c>
      <c r="Q62" s="431"/>
      <c r="R62" s="409"/>
      <c r="S62" s="409"/>
      <c r="T62" s="224"/>
    </row>
    <row r="63" spans="1:20">
      <c r="A63" s="207"/>
      <c r="B63" s="220"/>
      <c r="C63" s="210"/>
      <c r="D63" s="422"/>
      <c r="E63" s="422"/>
      <c r="F63" s="422"/>
      <c r="G63" s="422"/>
      <c r="H63" s="422"/>
      <c r="I63" s="227"/>
      <c r="J63" s="227"/>
      <c r="K63" s="227"/>
      <c r="L63" s="227"/>
      <c r="M63" s="227"/>
      <c r="N63" s="227"/>
      <c r="O63" s="227"/>
      <c r="P63" s="222"/>
      <c r="Q63" s="227"/>
      <c r="R63" s="227"/>
      <c r="S63" s="227"/>
      <c r="T63" s="224"/>
    </row>
    <row r="64" spans="1:20">
      <c r="A64" s="207"/>
      <c r="B64" s="220" t="s">
        <v>1090</v>
      </c>
      <c r="C64" s="210"/>
      <c r="D64" s="409"/>
      <c r="E64" s="409"/>
      <c r="F64" s="409"/>
      <c r="G64" s="409"/>
      <c r="H64" s="409"/>
      <c r="I64" s="210"/>
      <c r="J64" s="222" t="s">
        <v>1091</v>
      </c>
      <c r="K64" s="432"/>
      <c r="L64" s="414"/>
      <c r="M64" s="414"/>
      <c r="N64" s="210"/>
      <c r="O64" s="222" t="s">
        <v>1092</v>
      </c>
      <c r="P64" s="433"/>
      <c r="Q64" s="409"/>
      <c r="R64" s="409"/>
      <c r="S64" s="409"/>
      <c r="T64" s="224"/>
    </row>
    <row r="65" spans="1:20">
      <c r="A65" s="207"/>
      <c r="B65" s="220"/>
      <c r="C65" s="210"/>
      <c r="D65" s="210"/>
      <c r="E65" s="227"/>
      <c r="F65" s="227"/>
      <c r="G65" s="227"/>
      <c r="H65" s="210"/>
      <c r="I65" s="210"/>
      <c r="J65" s="222"/>
      <c r="K65" s="227"/>
      <c r="L65" s="227"/>
      <c r="M65" s="222"/>
      <c r="N65" s="210"/>
      <c r="O65" s="238"/>
      <c r="P65" s="222"/>
      <c r="Q65" s="222"/>
      <c r="R65" s="222"/>
      <c r="S65" s="210"/>
      <c r="T65" s="224"/>
    </row>
    <row r="66" spans="1:20">
      <c r="A66" s="207"/>
      <c r="B66" s="220" t="s">
        <v>1093</v>
      </c>
      <c r="C66" s="409"/>
      <c r="D66" s="409"/>
      <c r="E66" s="409"/>
      <c r="F66" s="409"/>
      <c r="G66" s="409"/>
      <c r="H66" s="409"/>
      <c r="I66" s="210"/>
      <c r="J66" s="220" t="s">
        <v>1094</v>
      </c>
      <c r="K66" s="436"/>
      <c r="L66" s="437"/>
      <c r="M66" s="437"/>
      <c r="N66" s="437"/>
      <c r="O66" s="437"/>
      <c r="P66" s="437"/>
      <c r="Q66" s="437"/>
      <c r="R66" s="437"/>
      <c r="S66" s="437"/>
      <c r="T66" s="224"/>
    </row>
    <row r="67" spans="1:20" ht="13.8" thickBot="1">
      <c r="A67" s="207"/>
      <c r="B67" s="220"/>
      <c r="C67" s="210"/>
      <c r="D67" s="210"/>
      <c r="E67" s="210"/>
      <c r="F67" s="210"/>
      <c r="G67" s="210"/>
      <c r="H67" s="210"/>
      <c r="I67" s="210"/>
      <c r="J67" s="220"/>
      <c r="K67" s="223"/>
      <c r="L67" s="223"/>
      <c r="M67" s="253"/>
      <c r="N67" s="253"/>
      <c r="O67" s="253"/>
      <c r="P67" s="253"/>
      <c r="Q67" s="253"/>
      <c r="R67" s="253"/>
      <c r="S67" s="253"/>
      <c r="T67" s="224"/>
    </row>
    <row r="68" spans="1:20">
      <c r="A68" s="216"/>
      <c r="B68" s="254"/>
      <c r="C68" s="218"/>
      <c r="D68" s="218"/>
      <c r="E68" s="218"/>
      <c r="F68" s="218"/>
      <c r="G68" s="218"/>
      <c r="H68" s="255" t="s">
        <v>1095</v>
      </c>
      <c r="I68" s="218"/>
      <c r="J68" s="254"/>
      <c r="K68" s="256"/>
      <c r="L68" s="256"/>
      <c r="M68" s="257"/>
      <c r="N68" s="257"/>
      <c r="O68" s="257"/>
      <c r="P68" s="257"/>
      <c r="Q68" s="257"/>
      <c r="R68" s="257"/>
      <c r="S68" s="257"/>
      <c r="T68" s="219"/>
    </row>
    <row r="69" spans="1:20">
      <c r="A69" s="207"/>
      <c r="B69" s="220" t="s">
        <v>1096</v>
      </c>
      <c r="C69" s="210"/>
      <c r="D69" s="210"/>
      <c r="E69" s="210"/>
      <c r="F69" s="210"/>
      <c r="G69" s="229" t="s">
        <v>1097</v>
      </c>
      <c r="H69" s="229"/>
      <c r="I69" s="229" t="s">
        <v>157</v>
      </c>
      <c r="J69" s="229"/>
      <c r="K69" s="213" t="s">
        <v>1098</v>
      </c>
      <c r="L69" s="438"/>
      <c r="M69" s="438"/>
      <c r="N69" s="438"/>
      <c r="O69" s="438"/>
      <c r="P69" s="438"/>
      <c r="Q69" s="438"/>
      <c r="R69" s="438"/>
      <c r="S69" s="438"/>
      <c r="T69" s="224"/>
    </row>
    <row r="70" spans="1:20">
      <c r="A70" s="207"/>
      <c r="B70" s="220"/>
      <c r="C70" s="210"/>
      <c r="D70" s="210"/>
      <c r="E70" s="210"/>
      <c r="F70" s="210"/>
      <c r="G70" s="229"/>
      <c r="H70" s="229"/>
      <c r="I70" s="229"/>
      <c r="J70" s="229"/>
      <c r="K70" s="213"/>
      <c r="L70" s="223"/>
      <c r="M70" s="253"/>
      <c r="N70" s="253"/>
      <c r="O70" s="253"/>
      <c r="P70" s="253"/>
      <c r="Q70" s="253"/>
      <c r="R70" s="253"/>
      <c r="S70" s="253"/>
      <c r="T70" s="224"/>
    </row>
    <row r="71" spans="1:20">
      <c r="A71" s="207"/>
      <c r="B71" s="220" t="s">
        <v>1099</v>
      </c>
      <c r="C71" s="210"/>
      <c r="D71" s="210"/>
      <c r="E71" s="434"/>
      <c r="F71" s="434"/>
      <c r="G71" s="434"/>
      <c r="H71" s="434"/>
      <c r="I71" s="434"/>
      <c r="J71" s="434"/>
      <c r="K71" s="434"/>
      <c r="L71" s="434"/>
      <c r="M71" s="434"/>
      <c r="N71" s="434"/>
      <c r="O71" s="434"/>
      <c r="P71" s="258" t="s">
        <v>1089</v>
      </c>
      <c r="Q71" s="439"/>
      <c r="R71" s="439"/>
      <c r="S71" s="439"/>
      <c r="T71" s="224"/>
    </row>
    <row r="72" spans="1:20">
      <c r="A72" s="207"/>
      <c r="B72" s="220"/>
      <c r="C72" s="210"/>
      <c r="D72" s="210"/>
      <c r="E72" s="210"/>
      <c r="F72" s="210"/>
      <c r="G72" s="210"/>
      <c r="H72" s="210"/>
      <c r="I72" s="210"/>
      <c r="J72" s="220"/>
      <c r="K72" s="223"/>
      <c r="L72" s="223"/>
      <c r="M72" s="253"/>
      <c r="N72" s="253"/>
      <c r="O72" s="253"/>
      <c r="P72" s="258"/>
      <c r="Q72" s="253"/>
      <c r="R72" s="253"/>
      <c r="S72" s="253"/>
      <c r="T72" s="224"/>
    </row>
    <row r="73" spans="1:20">
      <c r="A73" s="207"/>
      <c r="B73" s="220" t="s">
        <v>1090</v>
      </c>
      <c r="C73" s="210"/>
      <c r="D73" s="434"/>
      <c r="E73" s="434"/>
      <c r="F73" s="434"/>
      <c r="G73" s="434"/>
      <c r="H73" s="434"/>
      <c r="I73" s="434"/>
      <c r="J73" s="434"/>
      <c r="K73" s="259" t="s">
        <v>1100</v>
      </c>
      <c r="L73" s="223"/>
      <c r="M73" s="253"/>
      <c r="N73" s="253"/>
      <c r="O73" s="260"/>
      <c r="P73" s="435"/>
      <c r="Q73" s="435"/>
      <c r="R73" s="435"/>
      <c r="S73" s="435"/>
      <c r="T73" s="224"/>
    </row>
    <row r="74" spans="1:20">
      <c r="A74" s="207"/>
      <c r="B74" s="220"/>
      <c r="C74" s="210"/>
      <c r="D74" s="210"/>
      <c r="E74" s="210"/>
      <c r="F74" s="210"/>
      <c r="G74" s="210"/>
      <c r="H74" s="210"/>
      <c r="I74" s="210"/>
      <c r="J74" s="210"/>
      <c r="K74" s="210"/>
      <c r="L74" s="210"/>
      <c r="M74" s="252"/>
      <c r="N74" s="210"/>
      <c r="O74" s="210"/>
      <c r="Q74" s="210"/>
      <c r="R74" s="210"/>
      <c r="S74" s="210"/>
      <c r="T74" s="224"/>
    </row>
    <row r="75" spans="1:20" ht="13.8" thickBot="1">
      <c r="A75" s="261"/>
      <c r="B75" s="214"/>
      <c r="C75" s="214"/>
      <c r="D75" s="214"/>
      <c r="E75" s="214"/>
      <c r="F75" s="214"/>
      <c r="G75" s="214"/>
      <c r="H75" s="214"/>
      <c r="I75" s="214"/>
      <c r="J75" s="214"/>
      <c r="K75" s="214"/>
      <c r="L75" s="214"/>
      <c r="M75" s="262"/>
      <c r="N75" s="263"/>
      <c r="O75" s="263"/>
      <c r="P75" s="263"/>
      <c r="Q75" s="263"/>
      <c r="R75" s="263"/>
      <c r="S75" s="263"/>
      <c r="T75" s="264"/>
    </row>
  </sheetData>
  <sheetProtection formatColumns="0" formatRows="0" autoFilter="0"/>
  <mergeCells count="46">
    <mergeCell ref="D64:H64"/>
    <mergeCell ref="K64:M64"/>
    <mergeCell ref="P64:S64"/>
    <mergeCell ref="D73:J73"/>
    <mergeCell ref="P73:S73"/>
    <mergeCell ref="C66:H66"/>
    <mergeCell ref="K66:S66"/>
    <mergeCell ref="L69:S69"/>
    <mergeCell ref="E71:O71"/>
    <mergeCell ref="Q71:S71"/>
    <mergeCell ref="D63:H63"/>
    <mergeCell ref="K32:S32"/>
    <mergeCell ref="K33:S33"/>
    <mergeCell ref="M42:S42"/>
    <mergeCell ref="B52:I52"/>
    <mergeCell ref="J52:R52"/>
    <mergeCell ref="F58:S58"/>
    <mergeCell ref="B59:C59"/>
    <mergeCell ref="D59:E59"/>
    <mergeCell ref="F59:S59"/>
    <mergeCell ref="G62:O62"/>
    <mergeCell ref="Q62:S62"/>
    <mergeCell ref="D28:E28"/>
    <mergeCell ref="E17:G17"/>
    <mergeCell ref="N17:P17"/>
    <mergeCell ref="R17:S17"/>
    <mergeCell ref="B21:G21"/>
    <mergeCell ref="H21:I21"/>
    <mergeCell ref="L21:S21"/>
    <mergeCell ref="B24:I24"/>
    <mergeCell ref="L24:S24"/>
    <mergeCell ref="D27:E27"/>
    <mergeCell ref="F27:G27"/>
    <mergeCell ref="L27:S27"/>
    <mergeCell ref="G10:L10"/>
    <mergeCell ref="O10:S10"/>
    <mergeCell ref="G12:L12"/>
    <mergeCell ref="O12:S12"/>
    <mergeCell ref="N15:O15"/>
    <mergeCell ref="R15:S15"/>
    <mergeCell ref="D6:K6"/>
    <mergeCell ref="L6:N6"/>
    <mergeCell ref="O6:S6"/>
    <mergeCell ref="F8:K8"/>
    <mergeCell ref="L8:N8"/>
    <mergeCell ref="O8:S8"/>
  </mergeCells>
  <phoneticPr fontId="4" type="noConversion"/>
  <pageMargins left="0.27559055118110237" right="0.19685039370078741" top="0.98425196850393704" bottom="0.98425196850393704" header="0.51181102362204722" footer="0.51181102362204722"/>
  <pageSetup paperSize="9" scale="74" orientation="portrait" r:id="rId1"/>
  <headerFooter alignWithMargins="0">
    <oddHeader>&amp;LDimensional Report&amp;RPE-AUT-AV-00011-001 Rev. D13</oddHeader>
    <oddFooter>&amp;L&amp;A&amp;RPage &amp;P of &amp;N, printed: &amp;D
&amp;F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locked="0" defaultSize="0" autoFill="0" autoLine="0" autoPict="0">
                <anchor moveWithCells="1">
                  <from>
                    <xdr:col>1</xdr:col>
                    <xdr:colOff>38100</xdr:colOff>
                    <xdr:row>36</xdr:row>
                    <xdr:rowOff>7620</xdr:rowOff>
                  </from>
                  <to>
                    <xdr:col>1</xdr:col>
                    <xdr:colOff>335280</xdr:colOff>
                    <xdr:row>37</xdr:row>
                    <xdr:rowOff>60960</xdr:rowOff>
                  </to>
                </anchor>
              </controlPr>
            </control>
          </mc:Choice>
        </mc:AlternateContent>
        <mc:AlternateContent xmlns:mc="http://schemas.openxmlformats.org/markup-compatibility/2006">
          <mc:Choice Requires="x14">
            <control shapeId="10242" r:id="rId5" name="Check Box 2">
              <controlPr locked="0" defaultSize="0" autoFill="0" autoLine="0" autoPict="0">
                <anchor moveWithCells="1">
                  <from>
                    <xdr:col>1</xdr:col>
                    <xdr:colOff>38100</xdr:colOff>
                    <xdr:row>37</xdr:row>
                    <xdr:rowOff>7620</xdr:rowOff>
                  </from>
                  <to>
                    <xdr:col>1</xdr:col>
                    <xdr:colOff>335280</xdr:colOff>
                    <xdr:row>38</xdr:row>
                    <xdr:rowOff>60960</xdr:rowOff>
                  </to>
                </anchor>
              </controlPr>
            </control>
          </mc:Choice>
        </mc:AlternateContent>
        <mc:AlternateContent xmlns:mc="http://schemas.openxmlformats.org/markup-compatibility/2006">
          <mc:Choice Requires="x14">
            <control shapeId="10243" r:id="rId6" name="Check Box 3">
              <controlPr locked="0" defaultSize="0" autoFill="0" autoLine="0" autoPict="0">
                <anchor moveWithCells="1">
                  <from>
                    <xdr:col>1</xdr:col>
                    <xdr:colOff>38100</xdr:colOff>
                    <xdr:row>38</xdr:row>
                    <xdr:rowOff>7620</xdr:rowOff>
                  </from>
                  <to>
                    <xdr:col>1</xdr:col>
                    <xdr:colOff>335280</xdr:colOff>
                    <xdr:row>39</xdr:row>
                    <xdr:rowOff>60960</xdr:rowOff>
                  </to>
                </anchor>
              </controlPr>
            </control>
          </mc:Choice>
        </mc:AlternateContent>
        <mc:AlternateContent xmlns:mc="http://schemas.openxmlformats.org/markup-compatibility/2006">
          <mc:Choice Requires="x14">
            <control shapeId="10244" r:id="rId7" name="Check Box 4">
              <controlPr locked="0" defaultSize="0" autoFill="0" autoLine="0" autoPict="0">
                <anchor moveWithCells="1">
                  <from>
                    <xdr:col>1</xdr:col>
                    <xdr:colOff>38100</xdr:colOff>
                    <xdr:row>39</xdr:row>
                    <xdr:rowOff>7620</xdr:rowOff>
                  </from>
                  <to>
                    <xdr:col>1</xdr:col>
                    <xdr:colOff>335280</xdr:colOff>
                    <xdr:row>40</xdr:row>
                    <xdr:rowOff>60960</xdr:rowOff>
                  </to>
                </anchor>
              </controlPr>
            </control>
          </mc:Choice>
        </mc:AlternateContent>
        <mc:AlternateContent xmlns:mc="http://schemas.openxmlformats.org/markup-compatibility/2006">
          <mc:Choice Requires="x14">
            <control shapeId="10245" r:id="rId8" name="Check Box 5">
              <controlPr locked="0" defaultSize="0" autoFill="0" autoLine="0" autoPict="0">
                <anchor moveWithCells="1">
                  <from>
                    <xdr:col>1</xdr:col>
                    <xdr:colOff>38100</xdr:colOff>
                    <xdr:row>40</xdr:row>
                    <xdr:rowOff>7620</xdr:rowOff>
                  </from>
                  <to>
                    <xdr:col>1</xdr:col>
                    <xdr:colOff>335280</xdr:colOff>
                    <xdr:row>41</xdr:row>
                    <xdr:rowOff>60960</xdr:rowOff>
                  </to>
                </anchor>
              </controlPr>
            </control>
          </mc:Choice>
        </mc:AlternateContent>
        <mc:AlternateContent xmlns:mc="http://schemas.openxmlformats.org/markup-compatibility/2006">
          <mc:Choice Requires="x14">
            <control shapeId="10246" r:id="rId9" name="Check Box 6">
              <controlPr locked="0" defaultSize="0" autoFill="0" autoLine="0" autoPict="0">
                <anchor moveWithCells="1">
                  <from>
                    <xdr:col>12</xdr:col>
                    <xdr:colOff>38100</xdr:colOff>
                    <xdr:row>38</xdr:row>
                    <xdr:rowOff>7620</xdr:rowOff>
                  </from>
                  <to>
                    <xdr:col>12</xdr:col>
                    <xdr:colOff>335280</xdr:colOff>
                    <xdr:row>39</xdr:row>
                    <xdr:rowOff>60960</xdr:rowOff>
                  </to>
                </anchor>
              </controlPr>
            </control>
          </mc:Choice>
        </mc:AlternateContent>
        <mc:AlternateContent xmlns:mc="http://schemas.openxmlformats.org/markup-compatibility/2006">
          <mc:Choice Requires="x14">
            <control shapeId="10247" r:id="rId10" name="Check Box 7">
              <controlPr locked="0" defaultSize="0" autoFill="0" autoLine="0" autoPict="0">
                <anchor moveWithCells="1">
                  <from>
                    <xdr:col>12</xdr:col>
                    <xdr:colOff>38100</xdr:colOff>
                    <xdr:row>37</xdr:row>
                    <xdr:rowOff>7620</xdr:rowOff>
                  </from>
                  <to>
                    <xdr:col>12</xdr:col>
                    <xdr:colOff>335280</xdr:colOff>
                    <xdr:row>38</xdr:row>
                    <xdr:rowOff>60960</xdr:rowOff>
                  </to>
                </anchor>
              </controlPr>
            </control>
          </mc:Choice>
        </mc:AlternateContent>
        <mc:AlternateContent xmlns:mc="http://schemas.openxmlformats.org/markup-compatibility/2006">
          <mc:Choice Requires="x14">
            <control shapeId="10248" r:id="rId11" name="Check Box 8">
              <controlPr locked="0" defaultSize="0" autoFill="0" autoLine="0" autoPict="0">
                <anchor moveWithCells="1">
                  <from>
                    <xdr:col>12</xdr:col>
                    <xdr:colOff>38100</xdr:colOff>
                    <xdr:row>36</xdr:row>
                    <xdr:rowOff>7620</xdr:rowOff>
                  </from>
                  <to>
                    <xdr:col>12</xdr:col>
                    <xdr:colOff>335280</xdr:colOff>
                    <xdr:row>37</xdr:row>
                    <xdr:rowOff>60960</xdr:rowOff>
                  </to>
                </anchor>
              </controlPr>
            </control>
          </mc:Choice>
        </mc:AlternateContent>
        <mc:AlternateContent xmlns:mc="http://schemas.openxmlformats.org/markup-compatibility/2006">
          <mc:Choice Requires="x14">
            <control shapeId="10249" r:id="rId12" name="Check Box 9">
              <controlPr locked="0" defaultSize="0" autoFill="0" autoLine="0" autoPict="0">
                <anchor moveWithCells="1">
                  <from>
                    <xdr:col>1</xdr:col>
                    <xdr:colOff>38100</xdr:colOff>
                    <xdr:row>47</xdr:row>
                    <xdr:rowOff>0</xdr:rowOff>
                  </from>
                  <to>
                    <xdr:col>1</xdr:col>
                    <xdr:colOff>335280</xdr:colOff>
                    <xdr:row>48</xdr:row>
                    <xdr:rowOff>45720</xdr:rowOff>
                  </to>
                </anchor>
              </controlPr>
            </control>
          </mc:Choice>
        </mc:AlternateContent>
        <mc:AlternateContent xmlns:mc="http://schemas.openxmlformats.org/markup-compatibility/2006">
          <mc:Choice Requires="x14">
            <control shapeId="10250" r:id="rId13" name="Check Box 10">
              <controlPr locked="0" defaultSize="0" autoFill="0" autoLine="0" autoPict="0">
                <anchor moveWithCells="1">
                  <from>
                    <xdr:col>1</xdr:col>
                    <xdr:colOff>38100</xdr:colOff>
                    <xdr:row>45</xdr:row>
                    <xdr:rowOff>0</xdr:rowOff>
                  </from>
                  <to>
                    <xdr:col>1</xdr:col>
                    <xdr:colOff>335280</xdr:colOff>
                    <xdr:row>46</xdr:row>
                    <xdr:rowOff>45720</xdr:rowOff>
                  </to>
                </anchor>
              </controlPr>
            </control>
          </mc:Choice>
        </mc:AlternateContent>
        <mc:AlternateContent xmlns:mc="http://schemas.openxmlformats.org/markup-compatibility/2006">
          <mc:Choice Requires="x14">
            <control shapeId="10251" r:id="rId14" name="Check Box 11">
              <controlPr locked="0" defaultSize="0" autoFill="0" autoLine="0" autoPict="0">
                <anchor moveWithCells="1">
                  <from>
                    <xdr:col>1</xdr:col>
                    <xdr:colOff>38100</xdr:colOff>
                    <xdr:row>43</xdr:row>
                    <xdr:rowOff>0</xdr:rowOff>
                  </from>
                  <to>
                    <xdr:col>1</xdr:col>
                    <xdr:colOff>335280</xdr:colOff>
                    <xdr:row>44</xdr:row>
                    <xdr:rowOff>45720</xdr:rowOff>
                  </to>
                </anchor>
              </controlPr>
            </control>
          </mc:Choice>
        </mc:AlternateContent>
        <mc:AlternateContent xmlns:mc="http://schemas.openxmlformats.org/markup-compatibility/2006">
          <mc:Choice Requires="x14">
            <control shapeId="10252" r:id="rId15" name="Check Box 12">
              <controlPr locked="0" defaultSize="0" autoFill="0" autoLine="0" autoPict="0">
                <anchor moveWithCells="1">
                  <from>
                    <xdr:col>12</xdr:col>
                    <xdr:colOff>38100</xdr:colOff>
                    <xdr:row>39</xdr:row>
                    <xdr:rowOff>7620</xdr:rowOff>
                  </from>
                  <to>
                    <xdr:col>12</xdr:col>
                    <xdr:colOff>335280</xdr:colOff>
                    <xdr:row>40</xdr:row>
                    <xdr:rowOff>60960</xdr:rowOff>
                  </to>
                </anchor>
              </controlPr>
            </control>
          </mc:Choice>
        </mc:AlternateContent>
        <mc:AlternateContent xmlns:mc="http://schemas.openxmlformats.org/markup-compatibility/2006">
          <mc:Choice Requires="x14">
            <control shapeId="10253" r:id="rId16" name="Check Box 13">
              <controlPr locked="0" defaultSize="0" autoFill="0" autoLine="0" autoPict="0">
                <anchor moveWithCells="1">
                  <from>
                    <xdr:col>6</xdr:col>
                    <xdr:colOff>228600</xdr:colOff>
                    <xdr:row>13</xdr:row>
                    <xdr:rowOff>60960</xdr:rowOff>
                  </from>
                  <to>
                    <xdr:col>7</xdr:col>
                    <xdr:colOff>327660</xdr:colOff>
                    <xdr:row>14</xdr:row>
                    <xdr:rowOff>106680</xdr:rowOff>
                  </to>
                </anchor>
              </controlPr>
            </control>
          </mc:Choice>
        </mc:AlternateContent>
        <mc:AlternateContent xmlns:mc="http://schemas.openxmlformats.org/markup-compatibility/2006">
          <mc:Choice Requires="x14">
            <control shapeId="10254" r:id="rId17" name="Check Box 14">
              <controlPr locked="0" defaultSize="0" autoFill="0" autoLine="0" autoPict="0">
                <anchor moveWithCells="1">
                  <from>
                    <xdr:col>8</xdr:col>
                    <xdr:colOff>60960</xdr:colOff>
                    <xdr:row>13</xdr:row>
                    <xdr:rowOff>60960</xdr:rowOff>
                  </from>
                  <to>
                    <xdr:col>9</xdr:col>
                    <xdr:colOff>68580</xdr:colOff>
                    <xdr:row>14</xdr:row>
                    <xdr:rowOff>106680</xdr:rowOff>
                  </to>
                </anchor>
              </controlPr>
            </control>
          </mc:Choice>
        </mc:AlternateContent>
        <mc:AlternateContent xmlns:mc="http://schemas.openxmlformats.org/markup-compatibility/2006">
          <mc:Choice Requires="x14">
            <control shapeId="10255" r:id="rId18" name="Check Box 15">
              <controlPr locked="0" defaultSize="0" autoFill="0" autoLine="0" autoPict="0">
                <anchor moveWithCells="1">
                  <from>
                    <xdr:col>12</xdr:col>
                    <xdr:colOff>38100</xdr:colOff>
                    <xdr:row>40</xdr:row>
                    <xdr:rowOff>7620</xdr:rowOff>
                  </from>
                  <to>
                    <xdr:col>12</xdr:col>
                    <xdr:colOff>335280</xdr:colOff>
                    <xdr:row>41</xdr:row>
                    <xdr:rowOff>60960</xdr:rowOff>
                  </to>
                </anchor>
              </controlPr>
            </control>
          </mc:Choice>
        </mc:AlternateContent>
        <mc:AlternateContent xmlns:mc="http://schemas.openxmlformats.org/markup-compatibility/2006">
          <mc:Choice Requires="x14">
            <control shapeId="10256" r:id="rId19" name="Check Box 16">
              <controlPr locked="0" defaultSize="0" autoFill="0" autoLine="0" autoPict="0">
                <anchor moveWithCells="1">
                  <from>
                    <xdr:col>1</xdr:col>
                    <xdr:colOff>38100</xdr:colOff>
                    <xdr:row>43</xdr:row>
                    <xdr:rowOff>0</xdr:rowOff>
                  </from>
                  <to>
                    <xdr:col>1</xdr:col>
                    <xdr:colOff>335280</xdr:colOff>
                    <xdr:row>44</xdr:row>
                    <xdr:rowOff>45720</xdr:rowOff>
                  </to>
                </anchor>
              </controlPr>
            </control>
          </mc:Choice>
        </mc:AlternateContent>
        <mc:AlternateContent xmlns:mc="http://schemas.openxmlformats.org/markup-compatibility/2006">
          <mc:Choice Requires="x14">
            <control shapeId="10261" r:id="rId20" name="Check Box 21">
              <controlPr locked="0" defaultSize="0" autoFill="0" autoLine="0" autoPict="0">
                <anchor moveWithCells="1">
                  <from>
                    <xdr:col>1</xdr:col>
                    <xdr:colOff>38100</xdr:colOff>
                    <xdr:row>45</xdr:row>
                    <xdr:rowOff>0</xdr:rowOff>
                  </from>
                  <to>
                    <xdr:col>1</xdr:col>
                    <xdr:colOff>335280</xdr:colOff>
                    <xdr:row>46</xdr:row>
                    <xdr:rowOff>45720</xdr:rowOff>
                  </to>
                </anchor>
              </controlPr>
            </control>
          </mc:Choice>
        </mc:AlternateContent>
        <mc:AlternateContent xmlns:mc="http://schemas.openxmlformats.org/markup-compatibility/2006">
          <mc:Choice Requires="x14">
            <control shapeId="10262" r:id="rId21" name="Check Box 22">
              <controlPr locked="0" defaultSize="0" autoFill="0" autoLine="0" autoPict="0">
                <anchor moveWithCells="1">
                  <from>
                    <xdr:col>1</xdr:col>
                    <xdr:colOff>38100</xdr:colOff>
                    <xdr:row>45</xdr:row>
                    <xdr:rowOff>0</xdr:rowOff>
                  </from>
                  <to>
                    <xdr:col>1</xdr:col>
                    <xdr:colOff>335280</xdr:colOff>
                    <xdr:row>46</xdr:row>
                    <xdr:rowOff>45720</xdr:rowOff>
                  </to>
                </anchor>
              </controlPr>
            </control>
          </mc:Choice>
        </mc:AlternateContent>
        <mc:AlternateContent xmlns:mc="http://schemas.openxmlformats.org/markup-compatibility/2006">
          <mc:Choice Requires="x14">
            <control shapeId="10263" r:id="rId22" name="Check Box 23">
              <controlPr locked="0" defaultSize="0" autoFill="0" autoLine="0" autoPict="0">
                <anchor moveWithCells="1">
                  <from>
                    <xdr:col>1</xdr:col>
                    <xdr:colOff>38100</xdr:colOff>
                    <xdr:row>45</xdr:row>
                    <xdr:rowOff>0</xdr:rowOff>
                  </from>
                  <to>
                    <xdr:col>1</xdr:col>
                    <xdr:colOff>335280</xdr:colOff>
                    <xdr:row>46</xdr:row>
                    <xdr:rowOff>45720</xdr:rowOff>
                  </to>
                </anchor>
              </controlPr>
            </control>
          </mc:Choice>
        </mc:AlternateContent>
        <mc:AlternateContent xmlns:mc="http://schemas.openxmlformats.org/markup-compatibility/2006">
          <mc:Choice Requires="x14">
            <control shapeId="10268" r:id="rId23" name="Check Box 28">
              <controlPr locked="0" defaultSize="0" autoFill="0" autoLine="0" autoPict="0">
                <anchor moveWithCells="1">
                  <from>
                    <xdr:col>1</xdr:col>
                    <xdr:colOff>38100</xdr:colOff>
                    <xdr:row>43</xdr:row>
                    <xdr:rowOff>0</xdr:rowOff>
                  </from>
                  <to>
                    <xdr:col>1</xdr:col>
                    <xdr:colOff>335280</xdr:colOff>
                    <xdr:row>44</xdr:row>
                    <xdr:rowOff>45720</xdr:rowOff>
                  </to>
                </anchor>
              </controlPr>
            </control>
          </mc:Choice>
        </mc:AlternateContent>
        <mc:AlternateContent xmlns:mc="http://schemas.openxmlformats.org/markup-compatibility/2006">
          <mc:Choice Requires="x14">
            <control shapeId="10269" r:id="rId24" name="Check Box 29">
              <controlPr locked="0" defaultSize="0" autoFill="0" autoLine="0" autoPict="0">
                <anchor moveWithCells="1">
                  <from>
                    <xdr:col>1</xdr:col>
                    <xdr:colOff>38100</xdr:colOff>
                    <xdr:row>44</xdr:row>
                    <xdr:rowOff>0</xdr:rowOff>
                  </from>
                  <to>
                    <xdr:col>1</xdr:col>
                    <xdr:colOff>335280</xdr:colOff>
                    <xdr:row>45</xdr:row>
                    <xdr:rowOff>45720</xdr:rowOff>
                  </to>
                </anchor>
              </controlPr>
            </control>
          </mc:Choice>
        </mc:AlternateContent>
        <mc:AlternateContent xmlns:mc="http://schemas.openxmlformats.org/markup-compatibility/2006">
          <mc:Choice Requires="x14">
            <control shapeId="10270" r:id="rId25" name="Check Box 30">
              <controlPr locked="0" defaultSize="0" autoFill="0" autoLine="0" autoPict="0">
                <anchor moveWithCells="1">
                  <from>
                    <xdr:col>1</xdr:col>
                    <xdr:colOff>38100</xdr:colOff>
                    <xdr:row>46</xdr:row>
                    <xdr:rowOff>0</xdr:rowOff>
                  </from>
                  <to>
                    <xdr:col>1</xdr:col>
                    <xdr:colOff>335280</xdr:colOff>
                    <xdr:row>47</xdr:row>
                    <xdr:rowOff>45720</xdr:rowOff>
                  </to>
                </anchor>
              </controlPr>
            </control>
          </mc:Choice>
        </mc:AlternateContent>
        <mc:AlternateContent xmlns:mc="http://schemas.openxmlformats.org/markup-compatibility/2006">
          <mc:Choice Requires="x14">
            <control shapeId="10271" r:id="rId26" name="Check Box 31">
              <controlPr locked="0" defaultSize="0" autoFill="0" autoLine="0" autoPict="0">
                <anchor moveWithCells="1">
                  <from>
                    <xdr:col>11</xdr:col>
                    <xdr:colOff>121920</xdr:colOff>
                    <xdr:row>29</xdr:row>
                    <xdr:rowOff>144780</xdr:rowOff>
                  </from>
                  <to>
                    <xdr:col>12</xdr:col>
                    <xdr:colOff>38100</xdr:colOff>
                    <xdr:row>31</xdr:row>
                    <xdr:rowOff>30480</xdr:rowOff>
                  </to>
                </anchor>
              </controlPr>
            </control>
          </mc:Choice>
        </mc:AlternateContent>
        <mc:AlternateContent xmlns:mc="http://schemas.openxmlformats.org/markup-compatibility/2006">
          <mc:Choice Requires="x14">
            <control shapeId="10272" r:id="rId27" name="Check Box 32">
              <controlPr locked="0" defaultSize="0" autoFill="0" autoLine="0" autoPict="0">
                <anchor moveWithCells="1">
                  <from>
                    <xdr:col>13</xdr:col>
                    <xdr:colOff>144780</xdr:colOff>
                    <xdr:row>29</xdr:row>
                    <xdr:rowOff>144780</xdr:rowOff>
                  </from>
                  <to>
                    <xdr:col>14</xdr:col>
                    <xdr:colOff>60960</xdr:colOff>
                    <xdr:row>31</xdr:row>
                    <xdr:rowOff>30480</xdr:rowOff>
                  </to>
                </anchor>
              </controlPr>
            </control>
          </mc:Choice>
        </mc:AlternateContent>
        <mc:AlternateContent xmlns:mc="http://schemas.openxmlformats.org/markup-compatibility/2006">
          <mc:Choice Requires="x14">
            <control shapeId="10273" r:id="rId28" name="Check Box 33">
              <controlPr locked="0" defaultSize="0" autoFill="0" autoLine="0" autoPict="0">
                <anchor moveWithCells="1">
                  <from>
                    <xdr:col>15</xdr:col>
                    <xdr:colOff>121920</xdr:colOff>
                    <xdr:row>29</xdr:row>
                    <xdr:rowOff>144780</xdr:rowOff>
                  </from>
                  <to>
                    <xdr:col>16</xdr:col>
                    <xdr:colOff>38100</xdr:colOff>
                    <xdr:row>31</xdr:row>
                    <xdr:rowOff>30480</xdr:rowOff>
                  </to>
                </anchor>
              </controlPr>
            </control>
          </mc:Choice>
        </mc:AlternateContent>
        <mc:AlternateContent xmlns:mc="http://schemas.openxmlformats.org/markup-compatibility/2006">
          <mc:Choice Requires="x14">
            <control shapeId="10274" r:id="rId29" name="Check Box 34">
              <controlPr locked="0" defaultSize="0" autoFill="0" autoLine="0" autoPict="0">
                <anchor moveWithCells="1">
                  <from>
                    <xdr:col>11</xdr:col>
                    <xdr:colOff>121920</xdr:colOff>
                    <xdr:row>33</xdr:row>
                    <xdr:rowOff>68580</xdr:rowOff>
                  </from>
                  <to>
                    <xdr:col>12</xdr:col>
                    <xdr:colOff>38100</xdr:colOff>
                    <xdr:row>34</xdr:row>
                    <xdr:rowOff>114300</xdr:rowOff>
                  </to>
                </anchor>
              </controlPr>
            </control>
          </mc:Choice>
        </mc:AlternateContent>
        <mc:AlternateContent xmlns:mc="http://schemas.openxmlformats.org/markup-compatibility/2006">
          <mc:Choice Requires="x14">
            <control shapeId="10275" r:id="rId30" name="Check Box 35">
              <controlPr locked="0" defaultSize="0" autoFill="0" autoLine="0" autoPict="0">
                <anchor moveWithCells="1">
                  <from>
                    <xdr:col>13</xdr:col>
                    <xdr:colOff>144780</xdr:colOff>
                    <xdr:row>33</xdr:row>
                    <xdr:rowOff>68580</xdr:rowOff>
                  </from>
                  <to>
                    <xdr:col>14</xdr:col>
                    <xdr:colOff>60960</xdr:colOff>
                    <xdr:row>34</xdr:row>
                    <xdr:rowOff>114300</xdr:rowOff>
                  </to>
                </anchor>
              </controlPr>
            </control>
          </mc:Choice>
        </mc:AlternateContent>
        <mc:AlternateContent xmlns:mc="http://schemas.openxmlformats.org/markup-compatibility/2006">
          <mc:Choice Requires="x14">
            <control shapeId="10276" r:id="rId31" name="Check Box 36">
              <controlPr locked="0" defaultSize="0" autoFill="0" autoLine="0" autoPict="0">
                <anchor moveWithCells="1">
                  <from>
                    <xdr:col>15</xdr:col>
                    <xdr:colOff>121920</xdr:colOff>
                    <xdr:row>33</xdr:row>
                    <xdr:rowOff>68580</xdr:rowOff>
                  </from>
                  <to>
                    <xdr:col>16</xdr:col>
                    <xdr:colOff>38100</xdr:colOff>
                    <xdr:row>34</xdr:row>
                    <xdr:rowOff>114300</xdr:rowOff>
                  </to>
                </anchor>
              </controlPr>
            </control>
          </mc:Choice>
        </mc:AlternateContent>
        <mc:AlternateContent xmlns:mc="http://schemas.openxmlformats.org/markup-compatibility/2006">
          <mc:Choice Requires="x14">
            <control shapeId="10277" r:id="rId32" name="Check Box 37">
              <controlPr locked="0" defaultSize="0" autoFill="0" autoLine="0" autoPict="0">
                <anchor moveWithCells="1">
                  <from>
                    <xdr:col>3</xdr:col>
                    <xdr:colOff>182880</xdr:colOff>
                    <xdr:row>48</xdr:row>
                    <xdr:rowOff>190500</xdr:rowOff>
                  </from>
                  <to>
                    <xdr:col>4</xdr:col>
                    <xdr:colOff>99060</xdr:colOff>
                    <xdr:row>50</xdr:row>
                    <xdr:rowOff>45720</xdr:rowOff>
                  </to>
                </anchor>
              </controlPr>
            </control>
          </mc:Choice>
        </mc:AlternateContent>
        <mc:AlternateContent xmlns:mc="http://schemas.openxmlformats.org/markup-compatibility/2006">
          <mc:Choice Requires="x14">
            <control shapeId="10278" r:id="rId33" name="Check Box 38">
              <controlPr locked="0" defaultSize="0" autoFill="0" autoLine="0" autoPict="0">
                <anchor moveWithCells="1">
                  <from>
                    <xdr:col>7</xdr:col>
                    <xdr:colOff>198120</xdr:colOff>
                    <xdr:row>48</xdr:row>
                    <xdr:rowOff>190500</xdr:rowOff>
                  </from>
                  <to>
                    <xdr:col>8</xdr:col>
                    <xdr:colOff>114300</xdr:colOff>
                    <xdr:row>50</xdr:row>
                    <xdr:rowOff>45720</xdr:rowOff>
                  </to>
                </anchor>
              </controlPr>
            </control>
          </mc:Choice>
        </mc:AlternateContent>
        <mc:AlternateContent xmlns:mc="http://schemas.openxmlformats.org/markup-compatibility/2006">
          <mc:Choice Requires="x14">
            <control shapeId="10279" r:id="rId34" name="Check Box 39">
              <controlPr locked="0" defaultSize="0" autoFill="0" autoLine="0" autoPict="0">
                <anchor moveWithCells="1">
                  <from>
                    <xdr:col>11</xdr:col>
                    <xdr:colOff>274320</xdr:colOff>
                    <xdr:row>48</xdr:row>
                    <xdr:rowOff>190500</xdr:rowOff>
                  </from>
                  <to>
                    <xdr:col>12</xdr:col>
                    <xdr:colOff>190500</xdr:colOff>
                    <xdr:row>50</xdr:row>
                    <xdr:rowOff>45720</xdr:rowOff>
                  </to>
                </anchor>
              </controlPr>
            </control>
          </mc:Choice>
        </mc:AlternateContent>
        <mc:AlternateContent xmlns:mc="http://schemas.openxmlformats.org/markup-compatibility/2006">
          <mc:Choice Requires="x14">
            <control shapeId="10280" r:id="rId35" name="Check Box 40">
              <controlPr locked="0" defaultSize="0" autoFill="0" autoLine="0" autoPict="0">
                <anchor moveWithCells="1">
                  <from>
                    <xdr:col>14</xdr:col>
                    <xdr:colOff>327660</xdr:colOff>
                    <xdr:row>48</xdr:row>
                    <xdr:rowOff>190500</xdr:rowOff>
                  </from>
                  <to>
                    <xdr:col>15</xdr:col>
                    <xdr:colOff>236220</xdr:colOff>
                    <xdr:row>50</xdr:row>
                    <xdr:rowOff>45720</xdr:rowOff>
                  </to>
                </anchor>
              </controlPr>
            </control>
          </mc:Choice>
        </mc:AlternateContent>
        <mc:AlternateContent xmlns:mc="http://schemas.openxmlformats.org/markup-compatibility/2006">
          <mc:Choice Requires="x14">
            <control shapeId="10281" r:id="rId36" name="Check Box 41">
              <controlPr locked="0" defaultSize="0" autoFill="0" autoLine="0" autoPict="0">
                <anchor moveWithCells="1">
                  <from>
                    <xdr:col>9</xdr:col>
                    <xdr:colOff>236220</xdr:colOff>
                    <xdr:row>49</xdr:row>
                    <xdr:rowOff>190500</xdr:rowOff>
                  </from>
                  <to>
                    <xdr:col>10</xdr:col>
                    <xdr:colOff>152400</xdr:colOff>
                    <xdr:row>51</xdr:row>
                    <xdr:rowOff>45720</xdr:rowOff>
                  </to>
                </anchor>
              </controlPr>
            </control>
          </mc:Choice>
        </mc:AlternateContent>
        <mc:AlternateContent xmlns:mc="http://schemas.openxmlformats.org/markup-compatibility/2006">
          <mc:Choice Requires="x14">
            <control shapeId="10282" r:id="rId37" name="Check Box 42">
              <controlPr locked="0" defaultSize="0" autoFill="0" autoLine="0" autoPict="0">
                <anchor moveWithCells="1">
                  <from>
                    <xdr:col>9</xdr:col>
                    <xdr:colOff>220980</xdr:colOff>
                    <xdr:row>58</xdr:row>
                    <xdr:rowOff>175260</xdr:rowOff>
                  </from>
                  <to>
                    <xdr:col>10</xdr:col>
                    <xdr:colOff>137160</xdr:colOff>
                    <xdr:row>60</xdr:row>
                    <xdr:rowOff>45720</xdr:rowOff>
                  </to>
                </anchor>
              </controlPr>
            </control>
          </mc:Choice>
        </mc:AlternateContent>
        <mc:AlternateContent xmlns:mc="http://schemas.openxmlformats.org/markup-compatibility/2006">
          <mc:Choice Requires="x14">
            <control shapeId="10283" r:id="rId38" name="Check Box 43">
              <controlPr locked="0" defaultSize="0" autoFill="0" autoLine="0" autoPict="0">
                <anchor moveWithCells="1">
                  <from>
                    <xdr:col>11</xdr:col>
                    <xdr:colOff>137160</xdr:colOff>
                    <xdr:row>58</xdr:row>
                    <xdr:rowOff>175260</xdr:rowOff>
                  </from>
                  <to>
                    <xdr:col>12</xdr:col>
                    <xdr:colOff>45720</xdr:colOff>
                    <xdr:row>60</xdr:row>
                    <xdr:rowOff>45720</xdr:rowOff>
                  </to>
                </anchor>
              </controlPr>
            </control>
          </mc:Choice>
        </mc:AlternateContent>
        <mc:AlternateContent xmlns:mc="http://schemas.openxmlformats.org/markup-compatibility/2006">
          <mc:Choice Requires="x14">
            <control shapeId="10284" r:id="rId39" name="Check Box 44">
              <controlPr locked="0" defaultSize="0" autoFill="0" autoLine="0" autoPict="0">
                <anchor moveWithCells="1">
                  <from>
                    <xdr:col>5</xdr:col>
                    <xdr:colOff>144780</xdr:colOff>
                    <xdr:row>67</xdr:row>
                    <xdr:rowOff>144780</xdr:rowOff>
                  </from>
                  <to>
                    <xdr:col>6</xdr:col>
                    <xdr:colOff>60960</xdr:colOff>
                    <xdr:row>69</xdr:row>
                    <xdr:rowOff>30480</xdr:rowOff>
                  </to>
                </anchor>
              </controlPr>
            </control>
          </mc:Choice>
        </mc:AlternateContent>
        <mc:AlternateContent xmlns:mc="http://schemas.openxmlformats.org/markup-compatibility/2006">
          <mc:Choice Requires="x14">
            <control shapeId="10285" r:id="rId40" name="Check Box 45">
              <controlPr locked="0" defaultSize="0" autoFill="0" autoLine="0" autoPict="0">
                <anchor moveWithCells="1">
                  <from>
                    <xdr:col>7</xdr:col>
                    <xdr:colOff>152400</xdr:colOff>
                    <xdr:row>67</xdr:row>
                    <xdr:rowOff>144780</xdr:rowOff>
                  </from>
                  <to>
                    <xdr:col>8</xdr:col>
                    <xdr:colOff>68580</xdr:colOff>
                    <xdr:row>69</xdr:row>
                    <xdr:rowOff>30480</xdr:rowOff>
                  </to>
                </anchor>
              </controlPr>
            </control>
          </mc:Choice>
        </mc:AlternateContent>
        <mc:AlternateContent xmlns:mc="http://schemas.openxmlformats.org/markup-compatibility/2006">
          <mc:Choice Requires="x14">
            <control shapeId="10286" r:id="rId41" name="Check Box 46">
              <controlPr locked="0" defaultSize="0" autoFill="0" autoLine="0" autoPict="0">
                <anchor moveWithCells="1">
                  <from>
                    <xdr:col>9</xdr:col>
                    <xdr:colOff>220980</xdr:colOff>
                    <xdr:row>67</xdr:row>
                    <xdr:rowOff>144780</xdr:rowOff>
                  </from>
                  <to>
                    <xdr:col>10</xdr:col>
                    <xdr:colOff>137160</xdr:colOff>
                    <xdr:row>69</xdr:row>
                    <xdr:rowOff>30480</xdr:rowOff>
                  </to>
                </anchor>
              </controlPr>
            </control>
          </mc:Choice>
        </mc:AlternateContent>
        <mc:AlternateContent xmlns:mc="http://schemas.openxmlformats.org/markup-compatibility/2006">
          <mc:Choice Requires="x14">
            <control shapeId="10287" r:id="rId42" name="Check Box 47">
              <controlPr locked="0" defaultSize="0" autoFill="0" autoLine="0" autoPict="0">
                <anchor moveWithCells="1">
                  <from>
                    <xdr:col>7</xdr:col>
                    <xdr:colOff>266700</xdr:colOff>
                    <xdr:row>49</xdr:row>
                    <xdr:rowOff>190500</xdr:rowOff>
                  </from>
                  <to>
                    <xdr:col>8</xdr:col>
                    <xdr:colOff>182880</xdr:colOff>
                    <xdr:row>51</xdr:row>
                    <xdr:rowOff>45720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77346DF28BAAF4795EB49563EC0F9F0" ma:contentTypeVersion="6" ma:contentTypeDescription="Criar um novo documento." ma:contentTypeScope="" ma:versionID="68dcabac6d68b8f7f5cf6fc6a829f34e">
  <xsd:schema xmlns:xsd="http://www.w3.org/2001/XMLSchema" xmlns:xs="http://www.w3.org/2001/XMLSchema" xmlns:p="http://schemas.microsoft.com/office/2006/metadata/properties" xmlns:ns2="b335c741-ae03-47e7-a838-d582bb8417b4" xmlns:ns3="dbbd1b38-a788-468c-999c-0b02a49a248c" targetNamespace="http://schemas.microsoft.com/office/2006/metadata/properties" ma:root="true" ma:fieldsID="12d0f8d4e37fe6a0e7505a97d9b3c674" ns2:_="" ns3:_="">
    <xsd:import namespace="b335c741-ae03-47e7-a838-d582bb8417b4"/>
    <xsd:import namespace="dbbd1b38-a788-468c-999c-0b02a49a248c"/>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335c741-ae03-47e7-a838-d582bb8417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bbd1b38-a788-468c-999c-0b02a49a248c" elementFormDefault="qualified">
    <xsd:import namespace="http://schemas.microsoft.com/office/2006/documentManagement/types"/>
    <xsd:import namespace="http://schemas.microsoft.com/office/infopath/2007/PartnerControls"/>
    <xsd:element name="SharedWithUsers" ma:index="12" nillable="true" ma:displayName="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hes de 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8019B71-3FEC-4E26-B7AF-4D4FE11FAD4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335c741-ae03-47e7-a838-d582bb8417b4"/>
    <ds:schemaRef ds:uri="dbbd1b38-a788-468c-999c-0b02a49a24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31D1246-9839-477C-9598-3FB59A183ACE}">
  <ds:schemaRefs>
    <ds:schemaRef ds:uri="http://schemas.microsoft.com/sharepoint/v3/contenttype/forms"/>
  </ds:schemaRefs>
</ds:datastoreItem>
</file>

<file path=customXml/itemProps3.xml><?xml version="1.0" encoding="utf-8"?>
<ds:datastoreItem xmlns:ds="http://schemas.openxmlformats.org/officeDocument/2006/customXml" ds:itemID="{DB3BB7EB-346E-4D7D-824A-7B804AC3E161}">
  <ds:schemaRefs>
    <ds:schemaRef ds:uri="http://schemas.microsoft.com/office/2006/metadata/properties"/>
    <ds:schemaRef ds:uri="http://purl.org/dc/elements/1.1/"/>
    <ds:schemaRef ds:uri="ceaa7782-d517-413e-a336-0fcb00c67d00"/>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60</vt:i4>
      </vt:variant>
    </vt:vector>
  </HeadingPairs>
  <TitlesOfParts>
    <vt:vector size="75" baseType="lpstr">
      <vt:lpstr>Document Change History</vt:lpstr>
      <vt:lpstr>EvaluationReport</vt:lpstr>
      <vt:lpstr>PositionToleranceR</vt:lpstr>
      <vt:lpstr>PositionToleranceD</vt:lpstr>
      <vt:lpstr>MachineCapability</vt:lpstr>
      <vt:lpstr>Language</vt:lpstr>
      <vt:lpstr>Settings</vt:lpstr>
      <vt:lpstr>HeaderData</vt:lpstr>
      <vt:lpstr>DimensionalReport</vt:lpstr>
      <vt:lpstr>DigitalReport</vt:lpstr>
      <vt:lpstr>InspectionDeviceRegister</vt:lpstr>
      <vt:lpstr>Pictures</vt:lpstr>
      <vt:lpstr>Help</vt:lpstr>
      <vt:lpstr>PSW</vt:lpstr>
      <vt:lpstr>PSW template</vt:lpstr>
      <vt:lpstr>_DrpDwnAppraisal</vt:lpstr>
      <vt:lpstr>_DrpDwnReportQuality</vt:lpstr>
      <vt:lpstr>Capability.Criterion</vt:lpstr>
      <vt:lpstr>Capability.Knoten</vt:lpstr>
      <vt:lpstr>CapabilityType</vt:lpstr>
      <vt:lpstr>CapabilityTypeSelection</vt:lpstr>
      <vt:lpstr>CBDimRepReason</vt:lpstr>
      <vt:lpstr>CBSavedIndex</vt:lpstr>
      <vt:lpstr>FileVersion</vt:lpstr>
      <vt:lpstr>HeaderData.Accept</vt:lpstr>
      <vt:lpstr>HeaderData.DimRepReason</vt:lpstr>
      <vt:lpstr>HeaderData.InspectionDevice</vt:lpstr>
      <vt:lpstr>HeaderData.InspectorEmail</vt:lpstr>
      <vt:lpstr>HeaderData.InspectorName</vt:lpstr>
      <vt:lpstr>HeaderData.InspEmail</vt:lpstr>
      <vt:lpstr>HeaderData.LotNo</vt:lpstr>
      <vt:lpstr>HeaderData.MaterialNo</vt:lpstr>
      <vt:lpstr>HeaderData.MatLotNo</vt:lpstr>
      <vt:lpstr>HeaderData.MatTePn</vt:lpstr>
      <vt:lpstr>HeaderData.MeasureDate</vt:lpstr>
      <vt:lpstr>HeaderData.MeasureLoc</vt:lpstr>
      <vt:lpstr>HeaderData.MoldMachine</vt:lpstr>
      <vt:lpstr>HeaderData.Netweight</vt:lpstr>
      <vt:lpstr>HeaderData.OVID</vt:lpstr>
      <vt:lpstr>HeaderData.OVName</vt:lpstr>
      <vt:lpstr>HeaderData.PrdDate</vt:lpstr>
      <vt:lpstr>HeaderData.ProductionDate</vt:lpstr>
      <vt:lpstr>HeaderData.QtyCav</vt:lpstr>
      <vt:lpstr>HeaderData.SamplesPerCavity</vt:lpstr>
      <vt:lpstr>HeaderData.TeCADrev</vt:lpstr>
      <vt:lpstr>HeaderData.TeDwgNo</vt:lpstr>
      <vt:lpstr>HeaderData.TeDwgRev</vt:lpstr>
      <vt:lpstr>HeaderData.TeOrderNo</vt:lpstr>
      <vt:lpstr>HeaderData.TePe</vt:lpstr>
      <vt:lpstr>HeaderData.TePeEmail</vt:lpstr>
      <vt:lpstr>HeaderData.TEPN</vt:lpstr>
      <vt:lpstr>HeaderData.TePnDesc</vt:lpstr>
      <vt:lpstr>HeaderData.TePnRev</vt:lpstr>
      <vt:lpstr>HeaderData.TeReportNo</vt:lpstr>
      <vt:lpstr>HeaderData.TeReportRev</vt:lpstr>
      <vt:lpstr>HeaderData.TeToolNo</vt:lpstr>
      <vt:lpstr>HeaderData.UseCav</vt:lpstr>
      <vt:lpstr>LangID</vt:lpstr>
      <vt:lpstr>LangRange</vt:lpstr>
      <vt:lpstr>LanguageNo</vt:lpstr>
      <vt:lpstr>Machine_Capability_Study___Machinenfähigkeitsstudie</vt:lpstr>
      <vt:lpstr>DimensionalReport!Print_Area</vt:lpstr>
      <vt:lpstr>HeaderData!Print_Area</vt:lpstr>
      <vt:lpstr>Help!Print_Area</vt:lpstr>
      <vt:lpstr>InspectionDeviceRegister!Print_Area</vt:lpstr>
      <vt:lpstr>MachineCapability!Print_Area</vt:lpstr>
      <vt:lpstr>Pictures!Print_Area</vt:lpstr>
      <vt:lpstr>DimensionalReport!Print_Titles</vt:lpstr>
      <vt:lpstr>EvaluationReport!Print_Titles</vt:lpstr>
      <vt:lpstr>PositionToleranceD!Print_Titles</vt:lpstr>
      <vt:lpstr>PositionToleranceR!Print_Titles</vt:lpstr>
      <vt:lpstr>RatingComments</vt:lpstr>
      <vt:lpstr>TeDwgRev</vt:lpstr>
      <vt:lpstr>TempFormula</vt:lpstr>
      <vt:lpstr>UserPwd</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 Prakashkumar</cp:lastModifiedBy>
  <cp:lastPrinted>2021-02-15T09:50:04Z</cp:lastPrinted>
  <dcterms:created xsi:type="dcterms:W3CDTF">1996-10-17T05:27:31Z</dcterms:created>
  <dcterms:modified xsi:type="dcterms:W3CDTF">2025-03-03T10:22:19Z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0x010100777346DF28BAAF4795EB49563EC0F9F0</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ies>
</file>